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yashb\Downloads\Projects\"/>
    </mc:Choice>
  </mc:AlternateContent>
  <xr:revisionPtr revIDLastSave="0" documentId="13_ncr:1_{A1137A25-148E-4E7C-8CCF-C3C74D4E3F6F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" l="1"/>
  <c r="B8" i="2"/>
  <c r="D5" i="2"/>
  <c r="E2" i="1"/>
  <c r="B36" i="2"/>
  <c r="B28" i="2"/>
  <c r="D53" i="2"/>
  <c r="B53" i="2"/>
  <c r="D49" i="2"/>
  <c r="B49" i="2"/>
  <c r="D45" i="2"/>
  <c r="B45" i="2"/>
  <c r="D41" i="2"/>
  <c r="B41" i="2"/>
  <c r="D37" i="2"/>
  <c r="B37" i="2"/>
  <c r="B33" i="2"/>
  <c r="D29" i="2"/>
  <c r="B29" i="2"/>
  <c r="B25" i="2"/>
  <c r="D52" i="2"/>
  <c r="B52" i="2"/>
  <c r="B48" i="2"/>
  <c r="D44" i="2"/>
  <c r="B44" i="2"/>
  <c r="D40" i="2"/>
  <c r="B40" i="2"/>
  <c r="D36" i="2"/>
  <c r="D32" i="2"/>
  <c r="B32" i="2"/>
  <c r="D28" i="2"/>
  <c r="D24" i="2"/>
  <c r="B24" i="2"/>
  <c r="D20" i="2"/>
  <c r="B20" i="2"/>
  <c r="D21" i="2"/>
  <c r="B21" i="2"/>
  <c r="D17" i="2"/>
  <c r="B17" i="2"/>
  <c r="D13" i="2"/>
  <c r="B13" i="2"/>
  <c r="D9" i="2"/>
  <c r="B9" i="2"/>
  <c r="B5" i="2"/>
  <c r="B19" i="1"/>
  <c r="B20" i="1"/>
  <c r="B21" i="1"/>
  <c r="B22" i="1"/>
  <c r="B23" i="1"/>
  <c r="B24" i="1"/>
  <c r="B25" i="1"/>
  <c r="B26" i="1"/>
  <c r="B27" i="1"/>
  <c r="B28" i="1"/>
  <c r="B18" i="1"/>
  <c r="B4" i="2"/>
  <c r="D16" i="2"/>
  <c r="B16" i="2"/>
  <c r="D12" i="2"/>
  <c r="B12" i="2"/>
  <c r="D8" i="2"/>
  <c r="D4" i="2"/>
</calcChain>
</file>

<file path=xl/sharedStrings.xml><?xml version="1.0" encoding="utf-8"?>
<sst xmlns="http://schemas.openxmlformats.org/spreadsheetml/2006/main" count="67" uniqueCount="52">
  <si>
    <t>Picking</t>
  </si>
  <si>
    <t>Incoming Order</t>
  </si>
  <si>
    <t>Packing</t>
  </si>
  <si>
    <t>Quality Check</t>
  </si>
  <si>
    <t>Kanban Board</t>
  </si>
  <si>
    <t>Shipped</t>
  </si>
  <si>
    <t>Stagged</t>
  </si>
  <si>
    <t>Order Description</t>
  </si>
  <si>
    <t>Filters</t>
  </si>
  <si>
    <t>CV axle</t>
  </si>
  <si>
    <t>Exhaust</t>
  </si>
  <si>
    <t>Brake Pads</t>
  </si>
  <si>
    <t>Rotors</t>
  </si>
  <si>
    <t>Radiator</t>
  </si>
  <si>
    <t>Condensor</t>
  </si>
  <si>
    <t>Gaskets</t>
  </si>
  <si>
    <t>Belts</t>
  </si>
  <si>
    <t>Nuts and Bolts</t>
  </si>
  <si>
    <t>Hub Bearings</t>
  </si>
  <si>
    <t>Alternators</t>
  </si>
  <si>
    <t>Starters</t>
  </si>
  <si>
    <t>Turbos</t>
  </si>
  <si>
    <t>Engine Management</t>
  </si>
  <si>
    <t>Doorman</t>
  </si>
  <si>
    <t>Tie Rods</t>
  </si>
  <si>
    <t>Wiper Blades</t>
  </si>
  <si>
    <t>Spark Plugs</t>
  </si>
  <si>
    <t>Shocks and struts</t>
  </si>
  <si>
    <t>Brake Hose</t>
  </si>
  <si>
    <t>Calipers</t>
  </si>
  <si>
    <t>Brake Hardware</t>
  </si>
  <si>
    <t>A/C Compressor</t>
  </si>
  <si>
    <t>Oil</t>
  </si>
  <si>
    <t>Accessories</t>
  </si>
  <si>
    <t>Assignee : Jake</t>
  </si>
  <si>
    <t>Assignee : Cheng</t>
  </si>
  <si>
    <t>Assignee :Jake</t>
  </si>
  <si>
    <t>Assignee : Faith</t>
  </si>
  <si>
    <t>Assignee : Miles</t>
  </si>
  <si>
    <t>Assignee : Danteh</t>
  </si>
  <si>
    <t>Assignee : Chou</t>
  </si>
  <si>
    <t>Assignee :Brad</t>
  </si>
  <si>
    <t>Assignee : Brad</t>
  </si>
  <si>
    <t>Assignee :Brandon</t>
  </si>
  <si>
    <t>Assignee : Brandon</t>
  </si>
  <si>
    <t>Inventory List</t>
  </si>
  <si>
    <t>Inventory ID</t>
  </si>
  <si>
    <t>Inventory Title</t>
  </si>
  <si>
    <t>Wheel Bearing</t>
  </si>
  <si>
    <t>Chasis</t>
  </si>
  <si>
    <t>Order Backlog</t>
  </si>
  <si>
    <t>Add Items on the Order Backlog tab. They will automatially appear on your Kanban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</si>
</sst>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22"/>
      <color theme="2"/>
      <name val="Calibri"/>
      <family val="2"/>
      <scheme val="minor"/>
    </font>
    <font>
      <sz val="11"/>
      <color rgb="FF3F3F7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tted">
        <color auto="1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dotted">
        <color auto="1"/>
      </bottom>
      <diagonal/>
    </border>
    <border>
      <left style="medium">
        <color indexed="64"/>
      </left>
      <right style="thick">
        <color indexed="64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dotted">
        <color auto="1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/>
      <bottom style="dotted">
        <color auto="1"/>
      </bottom>
      <diagonal/>
    </border>
    <border>
      <left style="thick">
        <color indexed="64"/>
      </left>
      <right style="medium">
        <color indexed="64"/>
      </right>
      <top/>
      <bottom style="dotted">
        <color auto="1"/>
      </bottom>
      <diagonal/>
    </border>
    <border>
      <left style="medium">
        <color indexed="64"/>
      </left>
      <right style="thick">
        <color indexed="64"/>
      </right>
      <top style="dotted">
        <color auto="1"/>
      </top>
      <bottom/>
      <diagonal/>
    </border>
    <border>
      <left style="thick">
        <color indexed="64"/>
      </left>
      <right style="thick">
        <color indexed="64"/>
      </right>
      <top style="dotted">
        <color auto="1"/>
      </top>
      <bottom/>
      <diagonal/>
    </border>
    <border>
      <left style="thick">
        <color indexed="64"/>
      </left>
      <right style="medium">
        <color indexed="64"/>
      </right>
      <top style="dotted">
        <color auto="1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10" borderId="38" applyNumberFormat="0" applyAlignment="0" applyProtection="0"/>
  </cellStyleXfs>
  <cellXfs count="59">
    <xf numFmtId="0" fontId="0" fillId="0" borderId="0" xfId="0"/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7" borderId="0" xfId="0" applyFill="1"/>
    <xf numFmtId="0" fontId="6" fillId="7" borderId="0" xfId="0" applyFont="1" applyFill="1" applyAlignment="1">
      <alignment horizontal="left" vertical="center" indent="1"/>
    </xf>
    <xf numFmtId="0" fontId="4" fillId="7" borderId="0" xfId="0" applyFont="1" applyFill="1"/>
    <xf numFmtId="0" fontId="0" fillId="0" borderId="14" xfId="0" applyBorder="1"/>
    <xf numFmtId="0" fontId="0" fillId="9" borderId="0" xfId="0" applyFill="1"/>
    <xf numFmtId="0" fontId="0" fillId="9" borderId="15" xfId="0" applyFill="1" applyBorder="1"/>
    <xf numFmtId="0" fontId="0" fillId="9" borderId="16" xfId="0" applyFill="1" applyBorder="1"/>
    <xf numFmtId="0" fontId="0" fillId="9" borderId="17" xfId="0" applyFill="1" applyBorder="1"/>
    <xf numFmtId="0" fontId="0" fillId="9" borderId="18" xfId="0" applyFill="1" applyBorder="1"/>
    <xf numFmtId="0" fontId="0" fillId="9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8" borderId="32" xfId="0" applyFill="1" applyBorder="1"/>
    <xf numFmtId="0" fontId="0" fillId="8" borderId="33" xfId="0" applyFill="1" applyBorder="1"/>
    <xf numFmtId="0" fontId="0" fillId="0" borderId="34" xfId="0" applyBorder="1"/>
    <xf numFmtId="0" fontId="0" fillId="0" borderId="35" xfId="0" applyBorder="1"/>
    <xf numFmtId="0" fontId="2" fillId="3" borderId="32" xfId="2" applyBorder="1" applyAlignment="1">
      <alignment horizontal="center" vertical="center"/>
    </xf>
    <xf numFmtId="0" fontId="1" fillId="2" borderId="32" xfId="1" applyBorder="1" applyAlignment="1">
      <alignment horizontal="center" vertical="center"/>
    </xf>
    <xf numFmtId="0" fontId="1" fillId="2" borderId="32" xfId="1" applyBorder="1" applyAlignment="1">
      <alignment horizontal="center" vertical="center" wrapText="1"/>
    </xf>
    <xf numFmtId="0" fontId="3" fillId="4" borderId="32" xfId="3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2" fillId="3" borderId="1" xfId="2" applyBorder="1" applyAlignment="1">
      <alignment horizontal="center"/>
    </xf>
    <xf numFmtId="0" fontId="2" fillId="3" borderId="1" xfId="2" applyBorder="1" applyAlignment="1">
      <alignment horizontal="center" vertical="center"/>
    </xf>
    <xf numFmtId="0" fontId="1" fillId="2" borderId="1" xfId="1" applyBorder="1" applyAlignment="1">
      <alignment horizontal="center"/>
    </xf>
    <xf numFmtId="0" fontId="1" fillId="2" borderId="1" xfId="1" applyBorder="1" applyAlignment="1">
      <alignment horizontal="center" vertical="center"/>
    </xf>
    <xf numFmtId="0" fontId="3" fillId="4" borderId="1" xfId="3" applyBorder="1" applyAlignment="1">
      <alignment horizontal="center"/>
    </xf>
    <xf numFmtId="0" fontId="3" fillId="4" borderId="1" xfId="3" applyBorder="1" applyAlignment="1">
      <alignment horizontal="center" vertical="center"/>
    </xf>
    <xf numFmtId="0" fontId="2" fillId="3" borderId="1" xfId="2" applyBorder="1" applyAlignment="1">
      <alignment horizontal="center" vertical="center" wrapText="1"/>
    </xf>
    <xf numFmtId="0" fontId="3" fillId="4" borderId="32" xfId="3" applyBorder="1" applyAlignment="1">
      <alignment horizontal="center" vertical="center"/>
    </xf>
    <xf numFmtId="0" fontId="7" fillId="8" borderId="38" xfId="4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5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22" fontId="0" fillId="0" borderId="36" xfId="0" applyNumberFormat="1" applyBorder="1" applyAlignment="1">
      <alignment horizontal="center"/>
    </xf>
    <xf numFmtId="0" fontId="0" fillId="0" borderId="37" xfId="0" applyBorder="1" applyAlignment="1">
      <alignment horizontal="center"/>
    </xf>
  </cellXfs>
  <cellStyles count="5"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3">
    <dxf>
      <fill>
        <patternFill>
          <bgColor theme="0"/>
        </patternFill>
      </fill>
    </dxf>
    <dxf>
      <font>
        <color theme="0"/>
      </font>
    </dxf>
    <dxf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34.emf"/><Relationship Id="rId13" Type="http://schemas.openxmlformats.org/officeDocument/2006/relationships/image" Target="../media/image39.emf"/><Relationship Id="rId18" Type="http://schemas.openxmlformats.org/officeDocument/2006/relationships/image" Target="../media/image44.emf"/><Relationship Id="rId26" Type="http://schemas.openxmlformats.org/officeDocument/2006/relationships/image" Target="../media/image52.emf"/><Relationship Id="rId3" Type="http://schemas.openxmlformats.org/officeDocument/2006/relationships/image" Target="../media/image29.emf"/><Relationship Id="rId21" Type="http://schemas.openxmlformats.org/officeDocument/2006/relationships/image" Target="../media/image47.emf"/><Relationship Id="rId7" Type="http://schemas.openxmlformats.org/officeDocument/2006/relationships/image" Target="../media/image33.emf"/><Relationship Id="rId12" Type="http://schemas.openxmlformats.org/officeDocument/2006/relationships/image" Target="../media/image38.emf"/><Relationship Id="rId17" Type="http://schemas.openxmlformats.org/officeDocument/2006/relationships/image" Target="../media/image43.emf"/><Relationship Id="rId25" Type="http://schemas.openxmlformats.org/officeDocument/2006/relationships/image" Target="../media/image51.emf"/><Relationship Id="rId2" Type="http://schemas.openxmlformats.org/officeDocument/2006/relationships/image" Target="../media/image28.emf"/><Relationship Id="rId16" Type="http://schemas.openxmlformats.org/officeDocument/2006/relationships/image" Target="../media/image42.emf"/><Relationship Id="rId20" Type="http://schemas.openxmlformats.org/officeDocument/2006/relationships/image" Target="../media/image46.emf"/><Relationship Id="rId1" Type="http://schemas.openxmlformats.org/officeDocument/2006/relationships/image" Target="../media/image27.emf"/><Relationship Id="rId6" Type="http://schemas.openxmlformats.org/officeDocument/2006/relationships/image" Target="../media/image32.emf"/><Relationship Id="rId11" Type="http://schemas.openxmlformats.org/officeDocument/2006/relationships/image" Target="../media/image37.emf"/><Relationship Id="rId24" Type="http://schemas.openxmlformats.org/officeDocument/2006/relationships/image" Target="../media/image50.emf"/><Relationship Id="rId5" Type="http://schemas.openxmlformats.org/officeDocument/2006/relationships/image" Target="../media/image31.emf"/><Relationship Id="rId15" Type="http://schemas.openxmlformats.org/officeDocument/2006/relationships/image" Target="../media/image41.emf"/><Relationship Id="rId23" Type="http://schemas.openxmlformats.org/officeDocument/2006/relationships/image" Target="../media/image49.emf"/><Relationship Id="rId10" Type="http://schemas.openxmlformats.org/officeDocument/2006/relationships/image" Target="../media/image36.emf"/><Relationship Id="rId19" Type="http://schemas.openxmlformats.org/officeDocument/2006/relationships/image" Target="../media/image45.emf"/><Relationship Id="rId4" Type="http://schemas.openxmlformats.org/officeDocument/2006/relationships/image" Target="../media/image30.emf"/><Relationship Id="rId9" Type="http://schemas.openxmlformats.org/officeDocument/2006/relationships/image" Target="../media/image35.emf"/><Relationship Id="rId14" Type="http://schemas.openxmlformats.org/officeDocument/2006/relationships/image" Target="../media/image40.emf"/><Relationship Id="rId22" Type="http://schemas.openxmlformats.org/officeDocument/2006/relationships/image" Target="../media/image4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185369</xdr:colOff>
          <xdr:row>3</xdr:row>
          <xdr:rowOff>270374</xdr:rowOff>
        </xdr:from>
        <xdr:to>
          <xdr:col>6</xdr:col>
          <xdr:colOff>1352743</xdr:colOff>
          <xdr:row>6</xdr:row>
          <xdr:rowOff>150462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B96381A8-1CFA-18DB-8DAF-02539E48383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4:$B$6" spid="_x0000_s257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095030" y="1357408"/>
              <a:ext cx="1167374" cy="116085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1779065</xdr:colOff>
          <xdr:row>3</xdr:row>
          <xdr:rowOff>214434</xdr:rowOff>
        </xdr:from>
        <xdr:to>
          <xdr:col>6</xdr:col>
          <xdr:colOff>3063176</xdr:colOff>
          <xdr:row>7</xdr:row>
          <xdr:rowOff>16879</xdr:rowOff>
        </xdr:to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8D0CEC45-25AC-E017-1337-DD7D7759A77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4:$D$6" spid="_x0000_s257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715219" y="1301261"/>
              <a:ext cx="1284111" cy="12678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1823017</xdr:colOff>
          <xdr:row>3</xdr:row>
          <xdr:rowOff>155185</xdr:rowOff>
        </xdr:from>
        <xdr:to>
          <xdr:col>7</xdr:col>
          <xdr:colOff>3107128</xdr:colOff>
          <xdr:row>6</xdr:row>
          <xdr:rowOff>147632</xdr:rowOff>
        </xdr:to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7B1E2C62-67E4-36B7-8D1B-75FFE706500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8:$B$10" spid="_x0000_s257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1993780" y="1242219"/>
              <a:ext cx="1284111" cy="127321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174331</xdr:colOff>
          <xdr:row>12</xdr:row>
          <xdr:rowOff>35424</xdr:rowOff>
        </xdr:from>
        <xdr:to>
          <xdr:col>6</xdr:col>
          <xdr:colOff>1455094</xdr:colOff>
          <xdr:row>15</xdr:row>
          <xdr:rowOff>175340</xdr:rowOff>
        </xdr:to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C00901EA-81F9-73B7-134A-04DA01841E8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8:$D$10" spid="_x0000_s258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7083992" y="4372797"/>
              <a:ext cx="1280763" cy="128076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1743024</xdr:colOff>
          <xdr:row>8</xdr:row>
          <xdr:rowOff>61058</xdr:rowOff>
        </xdr:from>
        <xdr:to>
          <xdr:col>6</xdr:col>
          <xdr:colOff>3021843</xdr:colOff>
          <xdr:row>11</xdr:row>
          <xdr:rowOff>158072</xdr:rowOff>
        </xdr:to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EA50B1F6-F9EA-0BF9-7954-BD27943B1D0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2:$B$14" spid="_x0000_s258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66288" y="2927377"/>
              <a:ext cx="1278819" cy="124354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104236</xdr:colOff>
          <xdr:row>7</xdr:row>
          <xdr:rowOff>285019</xdr:rowOff>
        </xdr:from>
        <xdr:to>
          <xdr:col>6</xdr:col>
          <xdr:colOff>1383055</xdr:colOff>
          <xdr:row>11</xdr:row>
          <xdr:rowOff>64533</xdr:rowOff>
        </xdr:to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BF77F2AC-8BA1-6C2A-0CCD-FDB018B8E67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12:$D$14" spid="_x0000_s2582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7027500" y="2833838"/>
              <a:ext cx="1278819" cy="124354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59905</xdr:colOff>
          <xdr:row>3</xdr:row>
          <xdr:rowOff>227642</xdr:rowOff>
        </xdr:from>
        <xdr:to>
          <xdr:col>8</xdr:col>
          <xdr:colOff>1341045</xdr:colOff>
          <xdr:row>7</xdr:row>
          <xdr:rowOff>27115</xdr:rowOff>
        </xdr:to>
        <xdr:pic>
          <xdr:nvPicPr>
            <xdr:cNvPr id="22" name="Picture 21">
              <a:extLst>
                <a:ext uri="{FF2B5EF4-FFF2-40B4-BE49-F238E27FC236}">
                  <a16:creationId xmlns:a16="http://schemas.microsoft.com/office/drawing/2014/main" id="{3CDD8FEE-989F-F013-F84E-CEFFC50B1CF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6:$B$18" spid="_x0000_s2583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13484028" y="1308256"/>
              <a:ext cx="1281140" cy="12811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1611810</xdr:colOff>
          <xdr:row>3</xdr:row>
          <xdr:rowOff>256446</xdr:rowOff>
        </xdr:from>
        <xdr:to>
          <xdr:col>8</xdr:col>
          <xdr:colOff>2894022</xdr:colOff>
          <xdr:row>7</xdr:row>
          <xdr:rowOff>54306</xdr:rowOff>
        </xdr:to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41A3C375-32CB-EE7E-D60B-A033694374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16:$D$18" spid="_x0000_s2584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15054895" y="1337297"/>
              <a:ext cx="1282212" cy="12840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1703330</xdr:colOff>
          <xdr:row>12</xdr:row>
          <xdr:rowOff>94853</xdr:rowOff>
        </xdr:from>
        <xdr:to>
          <xdr:col>6</xdr:col>
          <xdr:colOff>2992380</xdr:colOff>
          <xdr:row>15</xdr:row>
          <xdr:rowOff>231684</xdr:rowOff>
        </xdr:to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E994F2B6-C7FC-E748-9A09-88A849A8DA8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0:$B$22" spid="_x0000_s2585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8612991" y="4432226"/>
              <a:ext cx="1289050" cy="12776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148958</xdr:colOff>
          <xdr:row>3</xdr:row>
          <xdr:rowOff>149259</xdr:rowOff>
        </xdr:from>
        <xdr:to>
          <xdr:col>10</xdr:col>
          <xdr:colOff>1438008</xdr:colOff>
          <xdr:row>6</xdr:row>
          <xdr:rowOff>154144</xdr:rowOff>
        </xdr:to>
        <xdr:pic>
          <xdr:nvPicPr>
            <xdr:cNvPr id="28" name="Picture 27">
              <a:extLst>
                <a:ext uri="{FF2B5EF4-FFF2-40B4-BE49-F238E27FC236}">
                  <a16:creationId xmlns:a16="http://schemas.microsoft.com/office/drawing/2014/main" id="{BD502312-DA91-FBF2-8A1E-BD3A9FFF90F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20:$D$22" spid="_x0000_s2586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20185235" y="1230110"/>
              <a:ext cx="1289050" cy="128839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1689059</xdr:colOff>
          <xdr:row>3</xdr:row>
          <xdr:rowOff>129728</xdr:rowOff>
        </xdr:from>
        <xdr:to>
          <xdr:col>10</xdr:col>
          <xdr:colOff>2978109</xdr:colOff>
          <xdr:row>6</xdr:row>
          <xdr:rowOff>135897</xdr:rowOff>
        </xdr:to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5CD9AC9B-615C-0DE7-A63A-83967C4C09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4:$B$26" spid="_x0000_s2587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21725336" y="1210579"/>
              <a:ext cx="1289050" cy="12896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1764830</xdr:colOff>
          <xdr:row>7</xdr:row>
          <xdr:rowOff>126109</xdr:rowOff>
        </xdr:from>
        <xdr:to>
          <xdr:col>10</xdr:col>
          <xdr:colOff>3053880</xdr:colOff>
          <xdr:row>10</xdr:row>
          <xdr:rowOff>123918</xdr:rowOff>
        </xdr:to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C22F1D00-05F5-1679-C369-769EB8FFE24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24:$D$26" spid="_x0000_s2588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21759189" y="2698673"/>
              <a:ext cx="1289050" cy="128409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91344</xdr:colOff>
          <xdr:row>16</xdr:row>
          <xdr:rowOff>149740</xdr:rowOff>
        </xdr:from>
        <xdr:to>
          <xdr:col>10</xdr:col>
          <xdr:colOff>1377626</xdr:colOff>
          <xdr:row>19</xdr:row>
          <xdr:rowOff>149740</xdr:rowOff>
        </xdr:to>
        <xdr:pic>
          <xdr:nvPicPr>
            <xdr:cNvPr id="34" name="Picture 33">
              <a:extLst>
                <a:ext uri="{FF2B5EF4-FFF2-40B4-BE49-F238E27FC236}">
                  <a16:creationId xmlns:a16="http://schemas.microsoft.com/office/drawing/2014/main" id="{ED303776-DA07-9490-BB48-0F6ACE22E88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8:$B$30" spid="_x0000_s2589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20085703" y="5962432"/>
              <a:ext cx="1286282" cy="128628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1774339</xdr:colOff>
          <xdr:row>8</xdr:row>
          <xdr:rowOff>86873</xdr:rowOff>
        </xdr:from>
        <xdr:to>
          <xdr:col>5</xdr:col>
          <xdr:colOff>3063389</xdr:colOff>
          <xdr:row>11</xdr:row>
          <xdr:rowOff>217373</xdr:rowOff>
        </xdr:to>
        <xdr:pic>
          <xdr:nvPicPr>
            <xdr:cNvPr id="36" name="Picture 35">
              <a:extLst>
                <a:ext uri="{FF2B5EF4-FFF2-40B4-BE49-F238E27FC236}">
                  <a16:creationId xmlns:a16="http://schemas.microsoft.com/office/drawing/2014/main" id="{04D63C9B-9E61-CC0A-44DB-52DA3493F2E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28:$D$30" spid="_x0000_s2590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5395190" y="2978150"/>
              <a:ext cx="1289050" cy="129241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275617</xdr:colOff>
          <xdr:row>3</xdr:row>
          <xdr:rowOff>242291</xdr:rowOff>
        </xdr:from>
        <xdr:to>
          <xdr:col>5</xdr:col>
          <xdr:colOff>1564667</xdr:colOff>
          <xdr:row>7</xdr:row>
          <xdr:rowOff>44737</xdr:rowOff>
        </xdr:to>
        <xdr:pic>
          <xdr:nvPicPr>
            <xdr:cNvPr id="38" name="Picture 37">
              <a:extLst>
                <a:ext uri="{FF2B5EF4-FFF2-40B4-BE49-F238E27FC236}">
                  <a16:creationId xmlns:a16="http://schemas.microsoft.com/office/drawing/2014/main" id="{A026D5CA-CDB5-77BD-3FCD-FC8411B5128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2:$B$34" spid="_x0000_s2591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3896468" y="1323142"/>
              <a:ext cx="1289050" cy="128861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1771420</xdr:colOff>
          <xdr:row>3</xdr:row>
          <xdr:rowOff>225777</xdr:rowOff>
        </xdr:from>
        <xdr:to>
          <xdr:col>5</xdr:col>
          <xdr:colOff>3060470</xdr:colOff>
          <xdr:row>7</xdr:row>
          <xdr:rowOff>28223</xdr:rowOff>
        </xdr:to>
        <xdr:pic>
          <xdr:nvPicPr>
            <xdr:cNvPr id="40" name="Picture 39">
              <a:extLst>
                <a:ext uri="{FF2B5EF4-FFF2-40B4-BE49-F238E27FC236}">
                  <a16:creationId xmlns:a16="http://schemas.microsoft.com/office/drawing/2014/main" id="{0EA72D17-443A-EA2C-0088-923CFC3011D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32:$D$34" spid="_x0000_s2592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5392271" y="1306628"/>
              <a:ext cx="1289050" cy="128861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1773270</xdr:colOff>
          <xdr:row>3</xdr:row>
          <xdr:rowOff>273331</xdr:rowOff>
        </xdr:from>
        <xdr:to>
          <xdr:col>9</xdr:col>
          <xdr:colOff>3062320</xdr:colOff>
          <xdr:row>7</xdr:row>
          <xdr:rowOff>76075</xdr:rowOff>
        </xdr:to>
        <xdr:pic>
          <xdr:nvPicPr>
            <xdr:cNvPr id="42" name="Picture 41">
              <a:extLst>
                <a:ext uri="{FF2B5EF4-FFF2-40B4-BE49-F238E27FC236}">
                  <a16:creationId xmlns:a16="http://schemas.microsoft.com/office/drawing/2014/main" id="{284932B3-6EFB-5CC7-8BB3-32C0E61FACD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6:$B$38" spid="_x0000_s2593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18337313" y="1354182"/>
              <a:ext cx="1289050" cy="128891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150609</xdr:colOff>
          <xdr:row>7</xdr:row>
          <xdr:rowOff>96880</xdr:rowOff>
        </xdr:from>
        <xdr:to>
          <xdr:col>10</xdr:col>
          <xdr:colOff>1439659</xdr:colOff>
          <xdr:row>10</xdr:row>
          <xdr:rowOff>93624</xdr:rowOff>
        </xdr:to>
        <xdr:pic>
          <xdr:nvPicPr>
            <xdr:cNvPr id="44" name="Picture 43">
              <a:extLst>
                <a:ext uri="{FF2B5EF4-FFF2-40B4-BE49-F238E27FC236}">
                  <a16:creationId xmlns:a16="http://schemas.microsoft.com/office/drawing/2014/main" id="{68BFD905-A27A-5397-E735-ABE83372B56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36:$D$38" spid="_x0000_s2594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20144968" y="2669444"/>
              <a:ext cx="1289050" cy="128302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233301</xdr:colOff>
          <xdr:row>8</xdr:row>
          <xdr:rowOff>96317</xdr:rowOff>
        </xdr:from>
        <xdr:to>
          <xdr:col>5</xdr:col>
          <xdr:colOff>1522351</xdr:colOff>
          <xdr:row>11</xdr:row>
          <xdr:rowOff>220218</xdr:rowOff>
        </xdr:to>
        <xdr:pic>
          <xdr:nvPicPr>
            <xdr:cNvPr id="46" name="Picture 45">
              <a:extLst>
                <a:ext uri="{FF2B5EF4-FFF2-40B4-BE49-F238E27FC236}">
                  <a16:creationId xmlns:a16="http://schemas.microsoft.com/office/drawing/2014/main" id="{4E908DBC-6FC2-F148-30BD-77632083876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40:$B$42" spid="_x0000_s2595"/>
                </a:ext>
              </a:extLst>
            </xdr:cNvPicPr>
          </xdr:nvPicPr>
          <xdr:blipFill>
            <a:blip xmlns:r="http://schemas.openxmlformats.org/officeDocument/2006/relationships" r:embed="rId19"/>
            <a:srcRect/>
            <a:stretch>
              <a:fillRect/>
            </a:stretch>
          </xdr:blipFill>
          <xdr:spPr bwMode="auto">
            <a:xfrm>
              <a:off x="3838809" y="2980724"/>
              <a:ext cx="1289050" cy="127551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94707</xdr:colOff>
          <xdr:row>3</xdr:row>
          <xdr:rowOff>267557</xdr:rowOff>
        </xdr:from>
        <xdr:to>
          <xdr:col>9</xdr:col>
          <xdr:colOff>1383757</xdr:colOff>
          <xdr:row>7</xdr:row>
          <xdr:rowOff>70302</xdr:rowOff>
        </xdr:to>
        <xdr:pic>
          <xdr:nvPicPr>
            <xdr:cNvPr id="48" name="Picture 47">
              <a:extLst>
                <a:ext uri="{FF2B5EF4-FFF2-40B4-BE49-F238E27FC236}">
                  <a16:creationId xmlns:a16="http://schemas.microsoft.com/office/drawing/2014/main" id="{879D08A0-C7F0-212E-DA44-9A45E941C13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40:$D$42" spid="_x0000_s2596"/>
                </a:ext>
              </a:extLst>
            </xdr:cNvPicPr>
          </xdr:nvPicPr>
          <xdr:blipFill>
            <a:blip xmlns:r="http://schemas.openxmlformats.org/officeDocument/2006/relationships" r:embed="rId20"/>
            <a:srcRect/>
            <a:stretch>
              <a:fillRect/>
            </a:stretch>
          </xdr:blipFill>
          <xdr:spPr bwMode="auto">
            <a:xfrm>
              <a:off x="16658750" y="1348408"/>
              <a:ext cx="1289050" cy="12889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85481</xdr:colOff>
          <xdr:row>11</xdr:row>
          <xdr:rowOff>263768</xdr:rowOff>
        </xdr:from>
        <xdr:to>
          <xdr:col>10</xdr:col>
          <xdr:colOff>1366244</xdr:colOff>
          <xdr:row>15</xdr:row>
          <xdr:rowOff>102328</xdr:rowOff>
        </xdr:to>
        <xdr:pic>
          <xdr:nvPicPr>
            <xdr:cNvPr id="50" name="Picture 49">
              <a:extLst>
                <a:ext uri="{FF2B5EF4-FFF2-40B4-BE49-F238E27FC236}">
                  <a16:creationId xmlns:a16="http://schemas.microsoft.com/office/drawing/2014/main" id="{781A32A8-006F-06FE-E4F2-9C186E0D0E7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44:$B$46" spid="_x0000_s2597"/>
                </a:ext>
              </a:extLst>
            </xdr:cNvPicPr>
          </xdr:nvPicPr>
          <xdr:blipFill>
            <a:blip xmlns:r="http://schemas.openxmlformats.org/officeDocument/2006/relationships" r:embed="rId21"/>
            <a:srcRect/>
            <a:stretch>
              <a:fillRect/>
            </a:stretch>
          </xdr:blipFill>
          <xdr:spPr bwMode="auto">
            <a:xfrm>
              <a:off x="20093362" y="4299785"/>
              <a:ext cx="1280763" cy="128076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1805408</xdr:colOff>
          <xdr:row>11</xdr:row>
          <xdr:rowOff>284119</xdr:rowOff>
        </xdr:from>
        <xdr:to>
          <xdr:col>10</xdr:col>
          <xdr:colOff>3086171</xdr:colOff>
          <xdr:row>15</xdr:row>
          <xdr:rowOff>122679</xdr:rowOff>
        </xdr:to>
        <xdr:pic>
          <xdr:nvPicPr>
            <xdr:cNvPr id="52" name="Picture 51">
              <a:extLst>
                <a:ext uri="{FF2B5EF4-FFF2-40B4-BE49-F238E27FC236}">
                  <a16:creationId xmlns:a16="http://schemas.microsoft.com/office/drawing/2014/main" id="{F394864A-21F0-DBEE-88B0-A09C79BE6B5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44:$D$46" spid="_x0000_s2598"/>
                </a:ext>
              </a:extLst>
            </xdr:cNvPicPr>
          </xdr:nvPicPr>
          <xdr:blipFill>
            <a:blip xmlns:r="http://schemas.openxmlformats.org/officeDocument/2006/relationships" r:embed="rId22"/>
            <a:srcRect/>
            <a:stretch>
              <a:fillRect/>
            </a:stretch>
          </xdr:blipFill>
          <xdr:spPr bwMode="auto">
            <a:xfrm>
              <a:off x="21813289" y="4320136"/>
              <a:ext cx="1280763" cy="128076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1672586</xdr:colOff>
          <xdr:row>16</xdr:row>
          <xdr:rowOff>158764</xdr:rowOff>
        </xdr:from>
        <xdr:to>
          <xdr:col>10</xdr:col>
          <xdr:colOff>2961636</xdr:colOff>
          <xdr:row>19</xdr:row>
          <xdr:rowOff>164165</xdr:rowOff>
        </xdr:to>
        <xdr:pic>
          <xdr:nvPicPr>
            <xdr:cNvPr id="54" name="Picture 53">
              <a:extLst>
                <a:ext uri="{FF2B5EF4-FFF2-40B4-BE49-F238E27FC236}">
                  <a16:creationId xmlns:a16="http://schemas.microsoft.com/office/drawing/2014/main" id="{CC7CBE59-66B8-05FB-115D-3ADA020EC39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48:$B$50" spid="_x0000_s2599"/>
                </a:ext>
              </a:extLst>
            </xdr:cNvPicPr>
          </xdr:nvPicPr>
          <xdr:blipFill>
            <a:blip xmlns:r="http://schemas.openxmlformats.org/officeDocument/2006/relationships" r:embed="rId23"/>
            <a:srcRect/>
            <a:stretch>
              <a:fillRect/>
            </a:stretch>
          </xdr:blipFill>
          <xdr:spPr bwMode="auto">
            <a:xfrm>
              <a:off x="21680467" y="5959866"/>
              <a:ext cx="1289050" cy="128616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131397</xdr:colOff>
          <xdr:row>19</xdr:row>
          <xdr:rowOff>309707</xdr:rowOff>
        </xdr:from>
        <xdr:to>
          <xdr:col>10</xdr:col>
          <xdr:colOff>1411476</xdr:colOff>
          <xdr:row>23</xdr:row>
          <xdr:rowOff>103848</xdr:rowOff>
        </xdr:to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851CE0A6-47FD-2CB6-EC63-3BBAC73F985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48:$D$50" spid="_x0000_s2600"/>
                </a:ext>
              </a:extLst>
            </xdr:cNvPicPr>
          </xdr:nvPicPr>
          <xdr:blipFill>
            <a:blip xmlns:r="http://schemas.openxmlformats.org/officeDocument/2006/relationships" r:embed="rId24"/>
            <a:srcRect/>
            <a:stretch>
              <a:fillRect/>
            </a:stretch>
          </xdr:blipFill>
          <xdr:spPr bwMode="auto">
            <a:xfrm>
              <a:off x="20138246" y="7399091"/>
              <a:ext cx="1280079" cy="127290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134305</xdr:colOff>
          <xdr:row>7</xdr:row>
          <xdr:rowOff>238301</xdr:rowOff>
        </xdr:from>
        <xdr:to>
          <xdr:col>9</xdr:col>
          <xdr:colOff>1423355</xdr:colOff>
          <xdr:row>11</xdr:row>
          <xdr:rowOff>40340</xdr:rowOff>
        </xdr:to>
        <xdr:pic>
          <xdr:nvPicPr>
            <xdr:cNvPr id="58" name="Picture 57">
              <a:extLst>
                <a:ext uri="{FF2B5EF4-FFF2-40B4-BE49-F238E27FC236}">
                  <a16:creationId xmlns:a16="http://schemas.microsoft.com/office/drawing/2014/main" id="{70CC8B1A-6994-D106-1228-BD754F4DC92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52:$B$54" spid="_x0000_s2601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16698348" y="2805322"/>
              <a:ext cx="1289050" cy="128820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365077</xdr:colOff>
          <xdr:row>3</xdr:row>
          <xdr:rowOff>149756</xdr:rowOff>
        </xdr:from>
        <xdr:to>
          <xdr:col>7</xdr:col>
          <xdr:colOff>1654127</xdr:colOff>
          <xdr:row>6</xdr:row>
          <xdr:rowOff>147239</xdr:rowOff>
        </xdr:to>
        <xdr:pic>
          <xdr:nvPicPr>
            <xdr:cNvPr id="60" name="Picture 59">
              <a:extLst>
                <a:ext uri="{FF2B5EF4-FFF2-40B4-BE49-F238E27FC236}">
                  <a16:creationId xmlns:a16="http://schemas.microsoft.com/office/drawing/2014/main" id="{C8E0B29B-2BE0-7666-D42A-8FCB5C7D8CA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52:$D$54" spid="_x0000_s2602"/>
                </a:ext>
              </a:extLst>
            </xdr:cNvPicPr>
          </xdr:nvPicPr>
          <xdr:blipFill>
            <a:blip xmlns:r="http://schemas.openxmlformats.org/officeDocument/2006/relationships" r:embed="rId26"/>
            <a:srcRect/>
            <a:stretch>
              <a:fillRect/>
            </a:stretch>
          </xdr:blipFill>
          <xdr:spPr bwMode="auto">
            <a:xfrm>
              <a:off x="10542474" y="1237085"/>
              <a:ext cx="1289050" cy="127618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8"/>
  <sheetViews>
    <sheetView topLeftCell="A7" zoomScale="55" workbookViewId="0">
      <selection activeCell="D3" sqref="D3"/>
    </sheetView>
  </sheetViews>
  <sheetFormatPr defaultRowHeight="14.5" x14ac:dyDescent="0.35"/>
  <cols>
    <col min="1" max="1" width="5.36328125" customWidth="1"/>
    <col min="2" max="2" width="14.54296875" customWidth="1"/>
    <col min="3" max="3" width="22.26953125" customWidth="1"/>
    <col min="4" max="4" width="52.26953125" customWidth="1"/>
  </cols>
  <sheetData>
    <row r="1" spans="2:6" ht="45" customHeight="1" thickBot="1" x14ac:dyDescent="0.7">
      <c r="B1" s="55" t="s">
        <v>45</v>
      </c>
      <c r="C1" s="56"/>
      <c r="D1" s="56"/>
      <c r="E1" s="56"/>
    </row>
    <row r="2" spans="2:6" ht="25" customHeight="1" thickTop="1" thickBot="1" x14ac:dyDescent="0.4">
      <c r="B2" s="1" t="s">
        <v>46</v>
      </c>
      <c r="C2" s="2" t="s">
        <v>47</v>
      </c>
      <c r="D2" s="2" t="s">
        <v>7</v>
      </c>
      <c r="E2" s="57">
        <f ca="1">NOW()</f>
        <v>46052.834716898149</v>
      </c>
      <c r="F2" s="58"/>
    </row>
    <row r="3" spans="2:6" ht="25" customHeight="1" thickTop="1" x14ac:dyDescent="0.35">
      <c r="B3" s="5">
        <v>1001</v>
      </c>
      <c r="C3" s="6" t="s">
        <v>22</v>
      </c>
      <c r="D3" s="7"/>
    </row>
    <row r="4" spans="2:6" ht="25" customHeight="1" x14ac:dyDescent="0.35">
      <c r="B4" s="8">
        <v>1002</v>
      </c>
      <c r="C4" s="9" t="s">
        <v>8</v>
      </c>
      <c r="D4" s="10"/>
    </row>
    <row r="5" spans="2:6" ht="25" customHeight="1" x14ac:dyDescent="0.35">
      <c r="B5" s="8">
        <v>1003</v>
      </c>
      <c r="C5" s="9" t="s">
        <v>9</v>
      </c>
      <c r="D5" s="10"/>
    </row>
    <row r="6" spans="2:6" ht="25" customHeight="1" x14ac:dyDescent="0.35">
      <c r="B6" s="8">
        <v>1004</v>
      </c>
      <c r="C6" s="9" t="s">
        <v>10</v>
      </c>
      <c r="D6" s="10"/>
    </row>
    <row r="7" spans="2:6" ht="25" customHeight="1" x14ac:dyDescent="0.35">
      <c r="B7" s="8">
        <v>1005</v>
      </c>
      <c r="C7" s="9" t="s">
        <v>11</v>
      </c>
      <c r="D7" s="10"/>
    </row>
    <row r="8" spans="2:6" ht="25" customHeight="1" x14ac:dyDescent="0.35">
      <c r="B8" s="8">
        <v>1006</v>
      </c>
      <c r="C8" s="9" t="s">
        <v>12</v>
      </c>
      <c r="D8" s="10"/>
    </row>
    <row r="9" spans="2:6" ht="25" customHeight="1" x14ac:dyDescent="0.35">
      <c r="B9" s="8">
        <v>1007</v>
      </c>
      <c r="C9" s="9" t="s">
        <v>13</v>
      </c>
      <c r="D9" s="10"/>
    </row>
    <row r="10" spans="2:6" ht="25" customHeight="1" x14ac:dyDescent="0.35">
      <c r="B10" s="8">
        <v>1008</v>
      </c>
      <c r="C10" s="9" t="s">
        <v>14</v>
      </c>
      <c r="D10" s="10"/>
    </row>
    <row r="11" spans="2:6" ht="25" customHeight="1" x14ac:dyDescent="0.35">
      <c r="B11" s="8">
        <v>1009</v>
      </c>
      <c r="C11" s="9" t="s">
        <v>15</v>
      </c>
      <c r="D11" s="10"/>
    </row>
    <row r="12" spans="2:6" ht="25" customHeight="1" x14ac:dyDescent="0.35">
      <c r="B12" s="8">
        <v>1010</v>
      </c>
      <c r="C12" s="9" t="s">
        <v>16</v>
      </c>
      <c r="D12" s="10"/>
    </row>
    <row r="13" spans="2:6" ht="25" customHeight="1" x14ac:dyDescent="0.35">
      <c r="B13" s="8">
        <v>1011</v>
      </c>
      <c r="C13" s="9" t="s">
        <v>17</v>
      </c>
      <c r="D13" s="10"/>
    </row>
    <row r="14" spans="2:6" ht="25" customHeight="1" x14ac:dyDescent="0.35">
      <c r="B14" s="26">
        <v>1012</v>
      </c>
      <c r="C14" s="27" t="s">
        <v>18</v>
      </c>
      <c r="D14" s="28"/>
    </row>
    <row r="15" spans="2:6" ht="25" customHeight="1" x14ac:dyDescent="0.35">
      <c r="B15" s="29">
        <v>1013</v>
      </c>
      <c r="C15" s="16" t="s">
        <v>19</v>
      </c>
      <c r="D15" s="30"/>
    </row>
    <row r="16" spans="2:6" ht="25" customHeight="1" x14ac:dyDescent="0.35">
      <c r="B16" s="29">
        <v>1014</v>
      </c>
      <c r="C16" s="16" t="s">
        <v>21</v>
      </c>
      <c r="D16" s="30"/>
    </row>
    <row r="17" spans="2:4" ht="25" customHeight="1" x14ac:dyDescent="0.35">
      <c r="B17" s="23">
        <v>1015</v>
      </c>
      <c r="C17" s="24" t="s">
        <v>20</v>
      </c>
      <c r="D17" s="25"/>
    </row>
    <row r="18" spans="2:4" ht="25" customHeight="1" x14ac:dyDescent="0.35">
      <c r="B18" s="8">
        <f>B17+1</f>
        <v>1016</v>
      </c>
      <c r="C18" s="9" t="s">
        <v>23</v>
      </c>
      <c r="D18" s="10"/>
    </row>
    <row r="19" spans="2:4" ht="25" customHeight="1" x14ac:dyDescent="0.35">
      <c r="B19" s="8">
        <f t="shared" ref="B19:B28" si="0">B18+1</f>
        <v>1017</v>
      </c>
      <c r="C19" s="9" t="s">
        <v>24</v>
      </c>
      <c r="D19" s="10"/>
    </row>
    <row r="20" spans="2:4" ht="25" customHeight="1" x14ac:dyDescent="0.35">
      <c r="B20" s="8">
        <f t="shared" si="0"/>
        <v>1018</v>
      </c>
      <c r="C20" s="9" t="s">
        <v>25</v>
      </c>
      <c r="D20" s="10"/>
    </row>
    <row r="21" spans="2:4" ht="25" customHeight="1" x14ac:dyDescent="0.35">
      <c r="B21" s="8">
        <f t="shared" si="0"/>
        <v>1019</v>
      </c>
      <c r="C21" s="9" t="s">
        <v>26</v>
      </c>
      <c r="D21" s="10"/>
    </row>
    <row r="22" spans="2:4" ht="25" customHeight="1" x14ac:dyDescent="0.35">
      <c r="B22" s="8">
        <f t="shared" si="0"/>
        <v>1020</v>
      </c>
      <c r="C22" s="9" t="s">
        <v>27</v>
      </c>
      <c r="D22" s="10"/>
    </row>
    <row r="23" spans="2:4" ht="25" customHeight="1" x14ac:dyDescent="0.35">
      <c r="B23" s="8">
        <f t="shared" si="0"/>
        <v>1021</v>
      </c>
      <c r="C23" s="9" t="s">
        <v>28</v>
      </c>
      <c r="D23" s="10"/>
    </row>
    <row r="24" spans="2:4" ht="25" customHeight="1" x14ac:dyDescent="0.35">
      <c r="B24" s="8">
        <f t="shared" si="0"/>
        <v>1022</v>
      </c>
      <c r="C24" s="9" t="s">
        <v>29</v>
      </c>
      <c r="D24" s="10"/>
    </row>
    <row r="25" spans="2:4" ht="25" customHeight="1" x14ac:dyDescent="0.35">
      <c r="B25" s="8">
        <f t="shared" si="0"/>
        <v>1023</v>
      </c>
      <c r="C25" s="9" t="s">
        <v>30</v>
      </c>
      <c r="D25" s="10"/>
    </row>
    <row r="26" spans="2:4" ht="25" customHeight="1" x14ac:dyDescent="0.35">
      <c r="B26" s="8">
        <f t="shared" si="0"/>
        <v>1024</v>
      </c>
      <c r="C26" s="9" t="s">
        <v>31</v>
      </c>
      <c r="D26" s="10"/>
    </row>
    <row r="27" spans="2:4" ht="25" customHeight="1" x14ac:dyDescent="0.35">
      <c r="B27" s="8">
        <f t="shared" si="0"/>
        <v>1025</v>
      </c>
      <c r="C27" s="9" t="s">
        <v>32</v>
      </c>
      <c r="D27" s="10"/>
    </row>
    <row r="28" spans="2:4" ht="25" customHeight="1" thickBot="1" x14ac:dyDescent="0.4">
      <c r="B28" s="8">
        <f t="shared" si="0"/>
        <v>1026</v>
      </c>
      <c r="C28" s="11" t="s">
        <v>33</v>
      </c>
      <c r="D28" s="12"/>
    </row>
  </sheetData>
  <mergeCells count="2">
    <mergeCell ref="B1:E1"/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61C9-9D32-4039-9DAB-4628AD596A92}">
  <dimension ref="A1:M55"/>
  <sheetViews>
    <sheetView showGridLines="0" tabSelected="1" topLeftCell="A4" zoomScale="72" zoomScaleNormal="70" workbookViewId="0">
      <selection activeCell="F16" sqref="F16"/>
    </sheetView>
  </sheetViews>
  <sheetFormatPr defaultRowHeight="14.5" x14ac:dyDescent="0.35"/>
  <cols>
    <col min="1" max="1" width="5" customWidth="1"/>
    <col min="2" max="2" width="18.36328125" customWidth="1"/>
    <col min="3" max="3" width="5" customWidth="1"/>
    <col min="4" max="4" width="18.36328125" customWidth="1"/>
    <col min="5" max="5" width="5.08984375" customWidth="1"/>
    <col min="6" max="6" width="47.36328125" customWidth="1"/>
    <col min="7" max="7" width="46.7265625" customWidth="1"/>
    <col min="8" max="8" width="46.453125" customWidth="1"/>
    <col min="9" max="9" width="44.6328125" customWidth="1"/>
    <col min="10" max="10" width="49.7265625" customWidth="1"/>
    <col min="11" max="11" width="48.81640625" customWidth="1"/>
  </cols>
  <sheetData>
    <row r="1" spans="1:13" s="13" customFormat="1" ht="40.5" customHeight="1" x14ac:dyDescent="0.35">
      <c r="B1" s="14" t="s">
        <v>4</v>
      </c>
      <c r="E1" s="15" t="s">
        <v>51</v>
      </c>
    </row>
    <row r="2" spans="1:13" s="13" customFormat="1" ht="15" thickBot="1" x14ac:dyDescent="0.4">
      <c r="A2" s="54" t="s">
        <v>50</v>
      </c>
      <c r="B2" s="54"/>
      <c r="C2" s="54"/>
      <c r="D2" s="54"/>
    </row>
    <row r="3" spans="1:13" ht="30" customHeight="1" thickTop="1" thickBot="1" x14ac:dyDescent="0.4">
      <c r="A3" s="18"/>
      <c r="B3" s="19"/>
      <c r="C3" s="19"/>
      <c r="D3" s="19"/>
      <c r="E3" s="19"/>
      <c r="F3" s="53" t="s">
        <v>1</v>
      </c>
      <c r="G3" s="39" t="s">
        <v>0</v>
      </c>
      <c r="H3" s="52" t="s">
        <v>2</v>
      </c>
      <c r="I3" s="41" t="s">
        <v>3</v>
      </c>
      <c r="J3" s="42" t="s">
        <v>6</v>
      </c>
      <c r="K3" s="40" t="s">
        <v>5</v>
      </c>
      <c r="L3" s="35"/>
      <c r="M3" s="36"/>
    </row>
    <row r="4" spans="1:13" ht="25" customHeight="1" thickTop="1" thickBot="1" x14ac:dyDescent="0.4">
      <c r="A4" s="20"/>
      <c r="B4" s="45">
        <f>Sheet1!B3</f>
        <v>1001</v>
      </c>
      <c r="C4" s="17"/>
      <c r="D4" s="45">
        <f>Sheet1!B4</f>
        <v>1002</v>
      </c>
      <c r="E4" s="17"/>
      <c r="F4" s="37"/>
      <c r="G4" s="37"/>
      <c r="H4" s="37"/>
      <c r="I4" s="37"/>
      <c r="J4" s="37"/>
      <c r="K4" s="37"/>
      <c r="L4" s="31"/>
      <c r="M4" s="32"/>
    </row>
    <row r="5" spans="1:13" ht="50" customHeight="1" thickTop="1" thickBot="1" x14ac:dyDescent="0.4">
      <c r="A5" s="20"/>
      <c r="B5" s="51" t="str">
        <f>Sheet1!C3</f>
        <v>Engine Management</v>
      </c>
      <c r="C5" s="17"/>
      <c r="D5" s="46" t="str">
        <f>Sheet1!C4</f>
        <v>Filters</v>
      </c>
      <c r="E5" s="17"/>
      <c r="F5" s="4"/>
      <c r="G5" s="4"/>
      <c r="H5" s="4"/>
      <c r="I5" s="4"/>
      <c r="J5" s="4"/>
      <c r="K5" s="4"/>
      <c r="M5" s="3"/>
    </row>
    <row r="6" spans="1:13" ht="25" customHeight="1" thickTop="1" thickBot="1" x14ac:dyDescent="0.4">
      <c r="A6" s="20"/>
      <c r="B6" s="46" t="s">
        <v>34</v>
      </c>
      <c r="C6" s="17"/>
      <c r="D6" s="46" t="s">
        <v>34</v>
      </c>
      <c r="E6" s="17"/>
      <c r="F6" s="4"/>
      <c r="G6" s="4"/>
      <c r="H6" s="4"/>
      <c r="I6" s="4"/>
      <c r="J6" s="4"/>
      <c r="K6" s="4"/>
      <c r="M6" s="3"/>
    </row>
    <row r="7" spans="1:13" ht="15.5" customHeight="1" thickTop="1" thickBot="1" x14ac:dyDescent="0.4">
      <c r="A7" s="20"/>
      <c r="B7" s="17"/>
      <c r="C7" s="17"/>
      <c r="D7" s="17"/>
      <c r="E7" s="17"/>
      <c r="F7" s="4"/>
      <c r="G7" s="4"/>
      <c r="H7" s="4"/>
      <c r="I7" s="4"/>
      <c r="J7" s="4"/>
      <c r="K7" s="4"/>
      <c r="M7" s="3"/>
    </row>
    <row r="8" spans="1:13" ht="25" customHeight="1" thickTop="1" thickBot="1" x14ac:dyDescent="0.4">
      <c r="A8" s="20"/>
      <c r="B8" s="49">
        <f>Sheet1!B5</f>
        <v>1003</v>
      </c>
      <c r="C8" s="17"/>
      <c r="D8" s="45">
        <f>Sheet1!B6</f>
        <v>1004</v>
      </c>
      <c r="E8" s="17"/>
      <c r="F8" s="4"/>
      <c r="G8" s="4"/>
      <c r="H8" s="4"/>
      <c r="I8" s="4"/>
      <c r="J8" s="4"/>
      <c r="K8" s="4"/>
      <c r="M8" s="3"/>
    </row>
    <row r="9" spans="1:13" ht="50" customHeight="1" thickTop="1" thickBot="1" x14ac:dyDescent="0.4">
      <c r="A9" s="20"/>
      <c r="B9" s="50" t="str">
        <f>Sheet1!C5</f>
        <v>CV axle</v>
      </c>
      <c r="C9" s="17"/>
      <c r="D9" s="46" t="str">
        <f>Sheet1!C6</f>
        <v>Exhaust</v>
      </c>
      <c r="E9" s="17"/>
      <c r="F9" s="4"/>
      <c r="G9" s="4"/>
      <c r="H9" s="4"/>
      <c r="I9" s="4"/>
      <c r="J9" s="4"/>
      <c r="K9" s="4"/>
      <c r="M9" s="3"/>
    </row>
    <row r="10" spans="1:13" ht="25" customHeight="1" thickTop="1" thickBot="1" x14ac:dyDescent="0.4">
      <c r="A10" s="20"/>
      <c r="B10" s="50" t="s">
        <v>35</v>
      </c>
      <c r="C10" s="17"/>
      <c r="D10" s="46" t="s">
        <v>35</v>
      </c>
      <c r="E10" s="17"/>
      <c r="F10" s="4"/>
      <c r="G10" s="4"/>
      <c r="H10" s="4"/>
      <c r="I10" s="4"/>
      <c r="J10" s="4"/>
      <c r="K10" s="4"/>
      <c r="M10" s="3"/>
    </row>
    <row r="11" spans="1:13" ht="15.5" customHeight="1" thickTop="1" thickBot="1" x14ac:dyDescent="0.4">
      <c r="A11" s="20"/>
      <c r="B11" s="17"/>
      <c r="C11" s="17"/>
      <c r="D11" s="17"/>
      <c r="E11" s="17"/>
      <c r="F11" s="4"/>
      <c r="G11" s="4"/>
      <c r="H11" s="4"/>
      <c r="I11" s="4"/>
      <c r="J11" s="4"/>
      <c r="K11" s="4"/>
      <c r="M11" s="3"/>
    </row>
    <row r="12" spans="1:13" ht="23.5" customHeight="1" thickTop="1" thickBot="1" x14ac:dyDescent="0.4">
      <c r="A12" s="20"/>
      <c r="B12" s="45">
        <f>Sheet1!B7</f>
        <v>1005</v>
      </c>
      <c r="C12" s="17"/>
      <c r="D12" s="45">
        <f>Sheet1!B8</f>
        <v>1006</v>
      </c>
      <c r="E12" s="17"/>
      <c r="F12" s="4"/>
      <c r="G12" s="4"/>
      <c r="H12" s="4"/>
      <c r="I12" s="4"/>
      <c r="J12" s="4"/>
      <c r="K12" s="4"/>
      <c r="M12" s="3"/>
    </row>
    <row r="13" spans="1:13" ht="50" customHeight="1" thickTop="1" thickBot="1" x14ac:dyDescent="0.4">
      <c r="A13" s="20"/>
      <c r="B13" s="46" t="str">
        <f>Sheet1!C7</f>
        <v>Brake Pads</v>
      </c>
      <c r="C13" s="17"/>
      <c r="D13" s="46" t="str">
        <f>Sheet1!C8</f>
        <v>Rotors</v>
      </c>
      <c r="E13" s="17"/>
      <c r="F13" s="4"/>
      <c r="G13" s="4"/>
      <c r="H13" s="4"/>
      <c r="I13" s="4"/>
      <c r="J13" s="4"/>
      <c r="K13" s="4"/>
      <c r="M13" s="3"/>
    </row>
    <row r="14" spans="1:13" ht="24.5" customHeight="1" thickTop="1" thickBot="1" x14ac:dyDescent="0.4">
      <c r="A14" s="20"/>
      <c r="B14" s="46" t="s">
        <v>34</v>
      </c>
      <c r="C14" s="17"/>
      <c r="D14" s="46" t="s">
        <v>36</v>
      </c>
      <c r="E14" s="17"/>
      <c r="F14" s="4"/>
      <c r="G14" s="4"/>
      <c r="H14" s="4"/>
      <c r="I14" s="4"/>
      <c r="J14" s="4"/>
      <c r="K14" s="4"/>
      <c r="M14" s="3"/>
    </row>
    <row r="15" spans="1:13" ht="15.5" customHeight="1" thickTop="1" thickBot="1" x14ac:dyDescent="0.4">
      <c r="A15" s="20"/>
      <c r="B15" s="17"/>
      <c r="C15" s="17"/>
      <c r="D15" s="17"/>
      <c r="E15" s="17"/>
      <c r="F15" s="4"/>
      <c r="G15" s="4"/>
      <c r="H15" s="4"/>
      <c r="I15" s="4"/>
      <c r="J15" s="4"/>
      <c r="K15" s="4"/>
      <c r="M15" s="3"/>
    </row>
    <row r="16" spans="1:13" ht="25" customHeight="1" thickTop="1" thickBot="1" x14ac:dyDescent="0.4">
      <c r="A16" s="20"/>
      <c r="B16" s="47">
        <f>Sheet1!B9</f>
        <v>1007</v>
      </c>
      <c r="C16" s="17"/>
      <c r="D16" s="47">
        <f>Sheet1!B10</f>
        <v>1008</v>
      </c>
      <c r="E16" s="17"/>
      <c r="F16" s="4"/>
      <c r="G16" s="4"/>
      <c r="H16" s="4"/>
      <c r="I16" s="4"/>
      <c r="J16" s="4"/>
      <c r="K16" s="4"/>
      <c r="M16" s="3"/>
    </row>
    <row r="17" spans="1:13" ht="50" customHeight="1" thickTop="1" thickBot="1" x14ac:dyDescent="0.4">
      <c r="A17" s="20"/>
      <c r="B17" s="48" t="str">
        <f>Sheet1!C9</f>
        <v>Radiator</v>
      </c>
      <c r="C17" s="17"/>
      <c r="D17" s="48" t="str">
        <f>Sheet1!C10</f>
        <v>Condensor</v>
      </c>
      <c r="E17" s="17"/>
      <c r="F17" s="4"/>
      <c r="G17" s="4"/>
      <c r="H17" s="4"/>
      <c r="I17" s="4"/>
      <c r="J17" s="4"/>
      <c r="K17" s="4"/>
      <c r="M17" s="3"/>
    </row>
    <row r="18" spans="1:13" ht="25" customHeight="1" thickTop="1" thickBot="1" x14ac:dyDescent="0.4">
      <c r="A18" s="20"/>
      <c r="B18" s="48" t="s">
        <v>39</v>
      </c>
      <c r="C18" s="17"/>
      <c r="D18" s="48" t="s">
        <v>39</v>
      </c>
      <c r="E18" s="17"/>
      <c r="F18" s="4"/>
      <c r="G18" s="4"/>
      <c r="H18" s="4"/>
      <c r="I18" s="4"/>
      <c r="J18" s="4"/>
      <c r="K18" s="4"/>
      <c r="M18" s="3"/>
    </row>
    <row r="19" spans="1:13" ht="25" customHeight="1" thickTop="1" thickBot="1" x14ac:dyDescent="0.4">
      <c r="A19" s="20"/>
      <c r="B19" s="17"/>
      <c r="C19" s="17"/>
      <c r="D19" s="17"/>
      <c r="E19" s="17"/>
      <c r="F19" s="4"/>
      <c r="G19" s="4"/>
      <c r="H19" s="4"/>
      <c r="I19" s="4"/>
      <c r="J19" s="4"/>
      <c r="K19" s="4"/>
      <c r="M19" s="3"/>
    </row>
    <row r="20" spans="1:13" ht="25" customHeight="1" thickTop="1" thickBot="1" x14ac:dyDescent="0.4">
      <c r="A20" s="20"/>
      <c r="B20" s="45">
        <f>Sheet1!B11</f>
        <v>1009</v>
      </c>
      <c r="C20" s="17"/>
      <c r="D20" s="47">
        <f>Sheet1!B12</f>
        <v>1010</v>
      </c>
      <c r="E20" s="17"/>
      <c r="F20" s="4"/>
      <c r="G20" s="4"/>
      <c r="H20" s="4"/>
      <c r="I20" s="4"/>
      <c r="J20" s="4"/>
      <c r="K20" s="4"/>
      <c r="M20" s="3"/>
    </row>
    <row r="21" spans="1:13" ht="50" customHeight="1" thickTop="1" thickBot="1" x14ac:dyDescent="0.4">
      <c r="A21" s="20"/>
      <c r="B21" s="46" t="str">
        <f>Sheet1!C11</f>
        <v>Gaskets</v>
      </c>
      <c r="C21" s="17"/>
      <c r="D21" s="48" t="str">
        <f>Sheet1!C12</f>
        <v>Belts</v>
      </c>
      <c r="E21" s="17"/>
      <c r="F21" s="4"/>
      <c r="G21" s="4"/>
      <c r="H21" s="4"/>
      <c r="I21" s="4"/>
      <c r="J21" s="4"/>
      <c r="K21" s="4"/>
      <c r="M21" s="3"/>
    </row>
    <row r="22" spans="1:13" ht="25" customHeight="1" thickTop="1" thickBot="1" x14ac:dyDescent="0.4">
      <c r="A22" s="20"/>
      <c r="B22" s="46" t="s">
        <v>35</v>
      </c>
      <c r="C22" s="17"/>
      <c r="D22" s="48" t="s">
        <v>37</v>
      </c>
      <c r="E22" s="17"/>
      <c r="F22" s="4"/>
      <c r="G22" s="4"/>
      <c r="H22" s="4"/>
      <c r="I22" s="4"/>
      <c r="J22" s="4"/>
      <c r="K22" s="4"/>
      <c r="M22" s="3"/>
    </row>
    <row r="23" spans="1:13" ht="15.5" thickTop="1" thickBot="1" x14ac:dyDescent="0.4">
      <c r="A23" s="20"/>
      <c r="B23" s="17"/>
      <c r="C23" s="17"/>
      <c r="D23" s="17"/>
      <c r="E23" s="17"/>
      <c r="F23" s="4"/>
      <c r="G23" s="4"/>
      <c r="H23" s="4"/>
      <c r="I23" s="4"/>
      <c r="J23" s="4"/>
      <c r="K23" s="4"/>
      <c r="M23" s="3"/>
    </row>
    <row r="24" spans="1:13" ht="25" customHeight="1" thickTop="1" thickBot="1" x14ac:dyDescent="0.4">
      <c r="A24" s="20"/>
      <c r="B24" s="47">
        <f>Sheet1!B13</f>
        <v>1011</v>
      </c>
      <c r="C24" s="17"/>
      <c r="D24" s="47">
        <f>Sheet1!B14</f>
        <v>1012</v>
      </c>
      <c r="E24" s="17"/>
      <c r="F24" s="4"/>
      <c r="G24" s="4"/>
      <c r="H24" s="4"/>
      <c r="I24" s="4"/>
      <c r="J24" s="4"/>
      <c r="K24" s="4"/>
      <c r="M24" s="3"/>
    </row>
    <row r="25" spans="1:13" ht="50" customHeight="1" thickTop="1" thickBot="1" x14ac:dyDescent="0.4">
      <c r="A25" s="20"/>
      <c r="B25" s="48" t="str">
        <f>Sheet1!C13</f>
        <v>Nuts and Bolts</v>
      </c>
      <c r="C25" s="17"/>
      <c r="D25" s="48" t="s">
        <v>48</v>
      </c>
      <c r="E25" s="17"/>
      <c r="F25" s="4"/>
      <c r="G25" s="4"/>
      <c r="H25" s="4"/>
      <c r="I25" s="4"/>
      <c r="J25" s="4"/>
      <c r="K25" s="4"/>
      <c r="M25" s="3"/>
    </row>
    <row r="26" spans="1:13" ht="25" customHeight="1" thickTop="1" thickBot="1" x14ac:dyDescent="0.4">
      <c r="A26" s="20"/>
      <c r="B26" s="48" t="s">
        <v>37</v>
      </c>
      <c r="C26" s="17"/>
      <c r="D26" s="48" t="s">
        <v>37</v>
      </c>
      <c r="E26" s="17"/>
      <c r="F26" s="4"/>
      <c r="G26" s="4"/>
      <c r="H26" s="4"/>
      <c r="I26" s="4"/>
      <c r="J26" s="4"/>
      <c r="K26" s="4"/>
      <c r="M26" s="3"/>
    </row>
    <row r="27" spans="1:13" ht="15.5" thickTop="1" thickBot="1" x14ac:dyDescent="0.4">
      <c r="A27" s="20"/>
      <c r="B27" s="17"/>
      <c r="C27" s="17"/>
      <c r="D27" s="17"/>
      <c r="E27" s="17"/>
      <c r="F27" s="4"/>
      <c r="G27" s="4"/>
      <c r="H27" s="4"/>
      <c r="I27" s="4"/>
      <c r="J27" s="4"/>
      <c r="K27" s="4"/>
      <c r="M27" s="3"/>
    </row>
    <row r="28" spans="1:13" ht="25" customHeight="1" thickTop="1" thickBot="1" x14ac:dyDescent="0.4">
      <c r="A28" s="20"/>
      <c r="B28" s="47">
        <f>Sheet1!B15</f>
        <v>1013</v>
      </c>
      <c r="C28" s="17"/>
      <c r="D28" s="43">
        <f>Sheet1!B16</f>
        <v>1014</v>
      </c>
      <c r="E28" s="17"/>
      <c r="F28" s="4"/>
      <c r="G28" s="4"/>
      <c r="H28" s="4"/>
      <c r="I28" s="4"/>
      <c r="J28" s="4"/>
      <c r="K28" s="4"/>
      <c r="M28" s="3"/>
    </row>
    <row r="29" spans="1:13" ht="50" customHeight="1" thickTop="1" thickBot="1" x14ac:dyDescent="0.4">
      <c r="A29" s="20"/>
      <c r="B29" s="48" t="str">
        <f>Sheet1!C15</f>
        <v>Alternators</v>
      </c>
      <c r="C29" s="17"/>
      <c r="D29" s="44" t="str">
        <f>Sheet1!C16</f>
        <v>Turbos</v>
      </c>
      <c r="E29" s="17"/>
      <c r="F29" s="4"/>
      <c r="G29" s="4"/>
      <c r="H29" s="4"/>
      <c r="I29" s="4"/>
      <c r="J29" s="4"/>
      <c r="K29" s="4"/>
      <c r="M29" s="3"/>
    </row>
    <row r="30" spans="1:13" ht="25" customHeight="1" thickTop="1" thickBot="1" x14ac:dyDescent="0.4">
      <c r="A30" s="20"/>
      <c r="B30" s="48" t="s">
        <v>38</v>
      </c>
      <c r="C30" s="17"/>
      <c r="D30" s="44" t="s">
        <v>38</v>
      </c>
      <c r="E30" s="17"/>
      <c r="F30" s="4"/>
      <c r="G30" s="4"/>
      <c r="H30" s="4"/>
      <c r="I30" s="4"/>
      <c r="J30" s="4"/>
      <c r="K30" s="4"/>
      <c r="M30" s="3"/>
    </row>
    <row r="31" spans="1:13" ht="15.5" thickTop="1" thickBot="1" x14ac:dyDescent="0.4">
      <c r="A31" s="20"/>
      <c r="B31" s="17"/>
      <c r="C31" s="17"/>
      <c r="D31" s="17"/>
      <c r="E31" s="17"/>
      <c r="F31" s="4"/>
      <c r="G31" s="4"/>
      <c r="H31" s="4"/>
      <c r="I31" s="4"/>
      <c r="J31" s="4"/>
      <c r="K31" s="4"/>
      <c r="M31" s="3"/>
    </row>
    <row r="32" spans="1:13" ht="25" customHeight="1" thickTop="1" thickBot="1" x14ac:dyDescent="0.4">
      <c r="A32" s="20"/>
      <c r="B32" s="43">
        <f>Sheet1!B17</f>
        <v>1015</v>
      </c>
      <c r="C32" s="17"/>
      <c r="D32" s="43">
        <f>Sheet1!B18</f>
        <v>1016</v>
      </c>
      <c r="E32" s="17"/>
      <c r="F32" s="4"/>
      <c r="G32" s="4"/>
      <c r="H32" s="4"/>
      <c r="I32" s="4"/>
      <c r="J32" s="4"/>
      <c r="K32" s="4"/>
      <c r="M32" s="3"/>
    </row>
    <row r="33" spans="1:13" ht="50" customHeight="1" thickTop="1" thickBot="1" x14ac:dyDescent="0.4">
      <c r="A33" s="20"/>
      <c r="B33" s="44" t="str">
        <f>Sheet1!C17</f>
        <v>Starters</v>
      </c>
      <c r="C33" s="17"/>
      <c r="D33" s="44" t="s">
        <v>49</v>
      </c>
      <c r="E33" s="17"/>
      <c r="F33" s="4"/>
      <c r="G33" s="4"/>
      <c r="H33" s="4"/>
      <c r="I33" s="4"/>
      <c r="J33" s="4"/>
      <c r="K33" s="4"/>
      <c r="M33" s="3"/>
    </row>
    <row r="34" spans="1:13" ht="25" customHeight="1" thickTop="1" thickBot="1" x14ac:dyDescent="0.4">
      <c r="A34" s="20"/>
      <c r="B34" s="44" t="s">
        <v>40</v>
      </c>
      <c r="C34" s="17"/>
      <c r="D34" s="44" t="s">
        <v>40</v>
      </c>
      <c r="E34" s="17"/>
      <c r="F34" s="4"/>
      <c r="G34" s="4"/>
      <c r="H34" s="4"/>
      <c r="I34" s="4"/>
      <c r="J34" s="4"/>
      <c r="K34" s="4"/>
      <c r="M34" s="3"/>
    </row>
    <row r="35" spans="1:13" ht="15.5" thickTop="1" thickBot="1" x14ac:dyDescent="0.4">
      <c r="A35" s="20"/>
      <c r="B35" s="17"/>
      <c r="C35" s="17"/>
      <c r="D35" s="17"/>
      <c r="E35" s="17"/>
      <c r="F35" s="4"/>
      <c r="G35" s="4"/>
      <c r="H35" s="4"/>
      <c r="I35" s="4"/>
      <c r="J35" s="4"/>
      <c r="K35" s="4"/>
      <c r="M35" s="3"/>
    </row>
    <row r="36" spans="1:13" ht="25" customHeight="1" thickTop="1" thickBot="1" x14ac:dyDescent="0.4">
      <c r="A36" s="20"/>
      <c r="B36" s="49">
        <f>Sheet1!B19</f>
        <v>1017</v>
      </c>
      <c r="C36" s="17"/>
      <c r="D36" s="47">
        <f>Sheet1!B20</f>
        <v>1018</v>
      </c>
      <c r="E36" s="17"/>
      <c r="F36" s="4"/>
      <c r="G36" s="4"/>
      <c r="H36" s="4"/>
      <c r="I36" s="4"/>
      <c r="J36" s="4"/>
      <c r="K36" s="4"/>
      <c r="M36" s="3"/>
    </row>
    <row r="37" spans="1:13" ht="50" customHeight="1" thickTop="1" thickBot="1" x14ac:dyDescent="0.4">
      <c r="A37" s="20"/>
      <c r="B37" s="50" t="str">
        <f>Sheet1!C19</f>
        <v>Tie Rods</v>
      </c>
      <c r="C37" s="17"/>
      <c r="D37" s="48" t="str">
        <f>Sheet1!C20</f>
        <v>Wiper Blades</v>
      </c>
      <c r="E37" s="17"/>
      <c r="F37" s="4"/>
      <c r="G37" s="4"/>
      <c r="H37" s="4"/>
      <c r="I37" s="4"/>
      <c r="J37" s="4"/>
      <c r="K37" s="4"/>
      <c r="M37" s="3"/>
    </row>
    <row r="38" spans="1:13" ht="25" customHeight="1" thickTop="1" thickBot="1" x14ac:dyDescent="0.4">
      <c r="A38" s="20"/>
      <c r="B38" s="50" t="s">
        <v>41</v>
      </c>
      <c r="C38" s="17"/>
      <c r="D38" s="48" t="s">
        <v>42</v>
      </c>
      <c r="E38" s="17"/>
      <c r="F38" s="4"/>
      <c r="G38" s="4"/>
      <c r="H38" s="4"/>
      <c r="I38" s="4"/>
      <c r="J38" s="4"/>
      <c r="K38" s="4"/>
      <c r="M38" s="3"/>
    </row>
    <row r="39" spans="1:13" ht="15.5" thickTop="1" thickBot="1" x14ac:dyDescent="0.4">
      <c r="A39" s="20"/>
      <c r="B39" s="17"/>
      <c r="C39" s="17"/>
      <c r="D39" s="17"/>
      <c r="E39" s="17"/>
      <c r="F39" s="4"/>
      <c r="G39" s="4"/>
      <c r="H39" s="4"/>
      <c r="I39" s="4"/>
      <c r="J39" s="4"/>
      <c r="K39" s="4"/>
      <c r="M39" s="3"/>
    </row>
    <row r="40" spans="1:13" ht="25" customHeight="1" thickTop="1" thickBot="1" x14ac:dyDescent="0.4">
      <c r="A40" s="20"/>
      <c r="B40" s="43">
        <f>Sheet1!B21</f>
        <v>1019</v>
      </c>
      <c r="C40" s="17"/>
      <c r="D40" s="49">
        <f>Sheet1!B22</f>
        <v>1020</v>
      </c>
      <c r="E40" s="17"/>
      <c r="F40" s="4"/>
      <c r="G40" s="4"/>
      <c r="H40" s="4"/>
      <c r="I40" s="4"/>
      <c r="J40" s="4"/>
      <c r="K40" s="4"/>
      <c r="M40" s="3"/>
    </row>
    <row r="41" spans="1:13" ht="50" customHeight="1" thickTop="1" thickBot="1" x14ac:dyDescent="0.4">
      <c r="A41" s="20"/>
      <c r="B41" s="44" t="str">
        <f>Sheet1!C21</f>
        <v>Spark Plugs</v>
      </c>
      <c r="C41" s="17"/>
      <c r="D41" s="50" t="str">
        <f>Sheet1!C22</f>
        <v>Shocks and struts</v>
      </c>
      <c r="E41" s="17"/>
      <c r="F41" s="4"/>
      <c r="G41" s="4"/>
      <c r="H41" s="4"/>
      <c r="I41" s="4"/>
      <c r="J41" s="4"/>
      <c r="K41" s="4"/>
      <c r="M41" s="3"/>
    </row>
    <row r="42" spans="1:13" ht="25" customHeight="1" thickTop="1" thickBot="1" x14ac:dyDescent="0.4">
      <c r="A42" s="20"/>
      <c r="B42" s="44" t="s">
        <v>42</v>
      </c>
      <c r="C42" s="17"/>
      <c r="D42" s="50" t="s">
        <v>42</v>
      </c>
      <c r="E42" s="17"/>
      <c r="F42" s="4"/>
      <c r="G42" s="4"/>
      <c r="H42" s="4"/>
      <c r="I42" s="4"/>
      <c r="J42" s="4"/>
      <c r="K42" s="4"/>
      <c r="M42" s="3"/>
    </row>
    <row r="43" spans="1:13" ht="15.5" thickTop="1" thickBot="1" x14ac:dyDescent="0.4">
      <c r="A43" s="20"/>
      <c r="B43" s="17"/>
      <c r="C43" s="17"/>
      <c r="D43" s="17"/>
      <c r="E43" s="17"/>
      <c r="F43" s="4"/>
      <c r="G43" s="4"/>
      <c r="H43" s="4"/>
      <c r="I43" s="4"/>
      <c r="J43" s="4"/>
      <c r="K43" s="4"/>
      <c r="M43" s="3"/>
    </row>
    <row r="44" spans="1:13" ht="25" customHeight="1" thickTop="1" thickBot="1" x14ac:dyDescent="0.4">
      <c r="A44" s="20"/>
      <c r="B44" s="47">
        <f>Sheet1!B23</f>
        <v>1021</v>
      </c>
      <c r="C44" s="17"/>
      <c r="D44" s="47">
        <f>Sheet1!B24</f>
        <v>1022</v>
      </c>
      <c r="E44" s="17"/>
      <c r="F44" s="4"/>
      <c r="G44" s="4"/>
      <c r="H44" s="4"/>
      <c r="I44" s="4"/>
      <c r="J44" s="4"/>
      <c r="K44" s="4"/>
      <c r="M44" s="3"/>
    </row>
    <row r="45" spans="1:13" ht="50" customHeight="1" thickTop="1" thickBot="1" x14ac:dyDescent="0.4">
      <c r="A45" s="20"/>
      <c r="B45" s="48" t="str">
        <f>Sheet1!C23</f>
        <v>Brake Hose</v>
      </c>
      <c r="C45" s="17"/>
      <c r="D45" s="48" t="str">
        <f>Sheet1!C24</f>
        <v>Calipers</v>
      </c>
      <c r="E45" s="17"/>
      <c r="F45" s="4"/>
      <c r="G45" s="4"/>
      <c r="H45" s="4"/>
      <c r="I45" s="4"/>
      <c r="J45" s="4"/>
      <c r="K45" s="4"/>
      <c r="M45" s="3"/>
    </row>
    <row r="46" spans="1:13" ht="25" customHeight="1" thickTop="1" thickBot="1" x14ac:dyDescent="0.4">
      <c r="A46" s="20"/>
      <c r="B46" s="48" t="s">
        <v>44</v>
      </c>
      <c r="C46" s="17"/>
      <c r="D46" s="48" t="s">
        <v>44</v>
      </c>
      <c r="E46" s="17"/>
      <c r="F46" s="4"/>
      <c r="G46" s="4"/>
      <c r="H46" s="4"/>
      <c r="I46" s="4"/>
      <c r="J46" s="4"/>
      <c r="K46" s="4"/>
      <c r="M46" s="3"/>
    </row>
    <row r="47" spans="1:13" ht="15.5" thickTop="1" thickBot="1" x14ac:dyDescent="0.4">
      <c r="A47" s="20"/>
      <c r="B47" s="17"/>
      <c r="C47" s="17"/>
      <c r="D47" s="17"/>
      <c r="E47" s="17"/>
      <c r="F47" s="4"/>
      <c r="G47" s="4"/>
      <c r="H47" s="4"/>
      <c r="I47" s="4"/>
      <c r="J47" s="4"/>
      <c r="K47" s="4"/>
      <c r="M47" s="3"/>
    </row>
    <row r="48" spans="1:13" ht="25" customHeight="1" thickTop="1" thickBot="1" x14ac:dyDescent="0.4">
      <c r="A48" s="20"/>
      <c r="B48" s="47">
        <f>Sheet1!B25</f>
        <v>1023</v>
      </c>
      <c r="C48" s="17"/>
      <c r="D48" s="47">
        <f>Sheet1!B26</f>
        <v>1024</v>
      </c>
      <c r="E48" s="17"/>
      <c r="F48" s="4"/>
      <c r="G48" s="4"/>
      <c r="H48" s="4"/>
      <c r="I48" s="4"/>
      <c r="J48" s="4"/>
      <c r="K48" s="4"/>
      <c r="M48" s="3"/>
    </row>
    <row r="49" spans="1:13" ht="50" customHeight="1" thickTop="1" thickBot="1" x14ac:dyDescent="0.4">
      <c r="A49" s="20"/>
      <c r="B49" s="48" t="str">
        <f>Sheet1!C25</f>
        <v>Brake Hardware</v>
      </c>
      <c r="C49" s="17"/>
      <c r="D49" s="48" t="str">
        <f>Sheet1!C26</f>
        <v>A/C Compressor</v>
      </c>
      <c r="E49" s="17"/>
      <c r="F49" s="4"/>
      <c r="G49" s="4"/>
      <c r="H49" s="4"/>
      <c r="I49" s="4"/>
      <c r="J49" s="4"/>
      <c r="K49" s="4"/>
      <c r="M49" s="3"/>
    </row>
    <row r="50" spans="1:13" ht="25" customHeight="1" thickTop="1" thickBot="1" x14ac:dyDescent="0.4">
      <c r="A50" s="20"/>
      <c r="B50" s="48" t="s">
        <v>44</v>
      </c>
      <c r="C50" s="17"/>
      <c r="D50" s="48" t="s">
        <v>43</v>
      </c>
      <c r="E50" s="17"/>
      <c r="F50" s="4"/>
      <c r="G50" s="4"/>
      <c r="H50" s="4"/>
      <c r="I50" s="4"/>
      <c r="J50" s="4"/>
      <c r="K50" s="4"/>
      <c r="M50" s="3"/>
    </row>
    <row r="51" spans="1:13" ht="15.5" thickTop="1" thickBot="1" x14ac:dyDescent="0.4">
      <c r="A51" s="20"/>
      <c r="B51" s="17"/>
      <c r="C51" s="17"/>
      <c r="D51" s="17"/>
      <c r="E51" s="17"/>
      <c r="F51" s="4"/>
      <c r="G51" s="4"/>
      <c r="H51" s="4"/>
      <c r="I51" s="4"/>
      <c r="J51" s="4"/>
      <c r="K51" s="4"/>
      <c r="M51" s="3"/>
    </row>
    <row r="52" spans="1:13" ht="25" customHeight="1" thickTop="1" thickBot="1" x14ac:dyDescent="0.4">
      <c r="A52" s="20"/>
      <c r="B52" s="49">
        <f>Sheet1!B27</f>
        <v>1025</v>
      </c>
      <c r="C52" s="17"/>
      <c r="D52" s="49">
        <f>Sheet1!B28</f>
        <v>1026</v>
      </c>
      <c r="E52" s="17"/>
      <c r="F52" s="4"/>
      <c r="G52" s="4"/>
      <c r="H52" s="4"/>
      <c r="I52" s="4"/>
      <c r="J52" s="4"/>
      <c r="K52" s="4"/>
      <c r="M52" s="3"/>
    </row>
    <row r="53" spans="1:13" ht="50" customHeight="1" thickTop="1" thickBot="1" x14ac:dyDescent="0.4">
      <c r="A53" s="20"/>
      <c r="B53" s="50" t="str">
        <f>Sheet1!C27</f>
        <v>Oil</v>
      </c>
      <c r="C53" s="17"/>
      <c r="D53" s="50" t="str">
        <f>Sheet1!C28</f>
        <v>Accessories</v>
      </c>
      <c r="E53" s="17"/>
      <c r="F53" s="4"/>
      <c r="G53" s="4"/>
      <c r="H53" s="4"/>
      <c r="I53" s="4"/>
      <c r="J53" s="4"/>
      <c r="K53" s="4"/>
      <c r="M53" s="3"/>
    </row>
    <row r="54" spans="1:13" ht="25" customHeight="1" thickTop="1" thickBot="1" x14ac:dyDescent="0.4">
      <c r="A54" s="21"/>
      <c r="B54" s="50" t="s">
        <v>39</v>
      </c>
      <c r="C54" s="22"/>
      <c r="D54" s="50" t="s">
        <v>39</v>
      </c>
      <c r="E54" s="22"/>
      <c r="F54" s="38"/>
      <c r="G54" s="38"/>
      <c r="H54" s="38"/>
      <c r="I54" s="38"/>
      <c r="J54" s="38"/>
      <c r="K54" s="38"/>
      <c r="L54" s="33"/>
      <c r="M54" s="34"/>
    </row>
    <row r="55" spans="1:13" ht="15" thickTop="1" x14ac:dyDescent="0.35"/>
  </sheetData>
  <mergeCells count="1">
    <mergeCell ref="A2:D2"/>
  </mergeCells>
  <conditionalFormatting sqref="B4 D4 B8 D8 B12 D12 B16 D16 B20 D20:D21 B24 D24">
    <cfRule type="cellIs" dxfId="2" priority="5" operator="equal">
      <formula>0</formula>
    </cfRule>
  </conditionalFormatting>
  <conditionalFormatting sqref="B28 D28 B32 D32 B36 D36 B40 D40 B44 D44 B48 D48 B52 D52">
    <cfRule type="cellIs" dxfId="1" priority="2" operator="equal">
      <formula>0</formula>
    </cfRule>
  </conditionalFormatting>
  <conditionalFormatting sqref="B28 D28 B32 D32 B36 D36 B40 D40 B44 D44 B48 D48 B52 D52:D53">
    <cfRule type="cellIs" dxfId="0" priority="3" operator="equal">
      <formula>0</formula>
    </cfRule>
  </conditionalFormatting>
  <conditionalFormatting sqref="E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bokade</dc:creator>
  <cp:lastModifiedBy>Yash Bokade</cp:lastModifiedBy>
  <dcterms:created xsi:type="dcterms:W3CDTF">2025-09-04T19:00:33Z</dcterms:created>
  <dcterms:modified xsi:type="dcterms:W3CDTF">2026-01-31T02:08:12Z</dcterms:modified>
</cp:coreProperties>
</file>