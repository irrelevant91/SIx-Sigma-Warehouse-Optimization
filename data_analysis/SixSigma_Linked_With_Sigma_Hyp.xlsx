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b\Downloads\Projects\"/>
    </mc:Choice>
  </mc:AlternateContent>
  <xr:revisionPtr revIDLastSave="0" documentId="13_ncr:1_{67291A7C-F78B-45A3-8BC9-D1C7635801C5}" xr6:coauthVersionLast="47" xr6:coauthVersionMax="47" xr10:uidLastSave="{00000000-0000-0000-0000-000000000000}"/>
  <bookViews>
    <workbookView xWindow="-110" yWindow="-110" windowWidth="19420" windowHeight="12220" firstSheet="5" activeTab="6" xr2:uid="{00000000-000D-0000-FFFF-FFFF00000000}"/>
  </bookViews>
  <sheets>
    <sheet name="Inventory_Accuracy" sheetId="1" r:id="rId1"/>
    <sheet name="Reconciliation_Time" sheetId="2" r:id="rId2"/>
    <sheet name="Picking_Time" sheetId="3" r:id="rId3"/>
    <sheet name="Root_Cause_Log" sheetId="4" r:id="rId4"/>
    <sheet name="KPIs" sheetId="5" r:id="rId5"/>
    <sheet name="Daily_Metrics" sheetId="6" r:id="rId6"/>
    <sheet name="Sigma_Calc" sheetId="10" r:id="rId7"/>
    <sheet name="Technician_Comparison" sheetId="7" r:id="rId8"/>
    <sheet name="Pareto_Causes" sheetId="8" r:id="rId9"/>
    <sheet name="Charts" sheetId="9" r:id="rId10"/>
    <sheet name="Hypothesis_Tes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1" l="1"/>
  <c r="C2" i="6"/>
  <c r="B3" i="10"/>
  <c r="D2" i="6" s="1"/>
  <c r="B1" i="11" a="1"/>
  <c r="B1" i="11" s="1"/>
  <c r="B53" i="11"/>
  <c r="A53" i="11"/>
  <c r="B52" i="11"/>
  <c r="A52" i="11"/>
  <c r="A51" i="11"/>
  <c r="B50" i="11"/>
  <c r="A50" i="11"/>
  <c r="B49" i="11"/>
  <c r="A49" i="11"/>
  <c r="A48" i="11"/>
  <c r="A47" i="11"/>
  <c r="A46" i="11"/>
  <c r="B45" i="11"/>
  <c r="A45" i="11"/>
  <c r="A44" i="11"/>
  <c r="B42" i="11"/>
  <c r="A42" i="11"/>
  <c r="A37" i="11"/>
  <c r="B36" i="11"/>
  <c r="A36" i="11"/>
  <c r="B35" i="11"/>
  <c r="A35" i="11"/>
  <c r="A34" i="11"/>
  <c r="A33" i="11"/>
  <c r="A32" i="11"/>
  <c r="B31" i="11"/>
  <c r="A31" i="11"/>
  <c r="A30" i="11"/>
  <c r="A29" i="11"/>
  <c r="B28" i="11"/>
  <c r="A28" i="11"/>
  <c r="B27" i="11"/>
  <c r="A27" i="11"/>
  <c r="A26" i="11"/>
  <c r="A24" i="11"/>
  <c r="B19" i="11"/>
  <c r="A19" i="11"/>
  <c r="A18" i="11"/>
  <c r="A17" i="11"/>
  <c r="B16" i="11"/>
  <c r="A16" i="11"/>
  <c r="A15" i="11"/>
  <c r="A14" i="11"/>
  <c r="B13" i="11"/>
  <c r="A13" i="11"/>
  <c r="A12" i="11"/>
  <c r="B11" i="11"/>
  <c r="A11" i="11"/>
  <c r="A10" i="11"/>
  <c r="A9" i="11"/>
  <c r="B8" i="11"/>
  <c r="A8" i="11"/>
  <c r="A6" i="11"/>
  <c r="B7" i="8"/>
  <c r="B6" i="8"/>
  <c r="B5" i="8"/>
  <c r="B4" i="8"/>
  <c r="B3" i="8"/>
  <c r="C2" i="8"/>
  <c r="C3" i="8" s="1"/>
  <c r="B2" i="8"/>
  <c r="B6" i="7"/>
  <c r="B5" i="7"/>
  <c r="B4" i="7"/>
  <c r="B3" i="7"/>
  <c r="B2" i="7"/>
  <c r="H15" i="6"/>
  <c r="B37" i="11" s="1"/>
  <c r="B15" i="6"/>
  <c r="H14" i="6"/>
  <c r="B14" i="6"/>
  <c r="B18" i="11" s="1"/>
  <c r="L13" i="6"/>
  <c r="H13" i="6"/>
  <c r="B13" i="6"/>
  <c r="B17" i="11" s="1"/>
  <c r="L12" i="6"/>
  <c r="H12" i="6"/>
  <c r="B34" i="11" s="1"/>
  <c r="B12" i="6"/>
  <c r="L11" i="6"/>
  <c r="B51" i="11" s="1"/>
  <c r="H11" i="6"/>
  <c r="B33" i="11" s="1"/>
  <c r="B11" i="6"/>
  <c r="B15" i="11" s="1"/>
  <c r="L10" i="6"/>
  <c r="H10" i="6"/>
  <c r="B32" i="11" s="1"/>
  <c r="B10" i="6"/>
  <c r="B14" i="11" s="1"/>
  <c r="L9" i="6"/>
  <c r="H9" i="6"/>
  <c r="B9" i="6"/>
  <c r="L8" i="6"/>
  <c r="B48" i="11" s="1"/>
  <c r="H8" i="6"/>
  <c r="B30" i="11" s="1"/>
  <c r="B8" i="6"/>
  <c r="B12" i="11" s="1"/>
  <c r="L7" i="6"/>
  <c r="B47" i="11" s="1"/>
  <c r="H7" i="6"/>
  <c r="B29" i="11" s="1"/>
  <c r="B7" i="6"/>
  <c r="L6" i="6"/>
  <c r="B46" i="11" s="1"/>
  <c r="H6" i="6"/>
  <c r="B6" i="6"/>
  <c r="B10" i="11" s="1"/>
  <c r="L5" i="6"/>
  <c r="H5" i="6"/>
  <c r="B5" i="6"/>
  <c r="B9" i="11" s="1"/>
  <c r="L4" i="6"/>
  <c r="B44" i="11" s="1"/>
  <c r="H4" i="6"/>
  <c r="B26" i="11" s="1"/>
  <c r="B4" i="6"/>
  <c r="L3" i="6"/>
  <c r="H3" i="6"/>
  <c r="B3" i="6"/>
  <c r="L2" i="6"/>
  <c r="H2" i="6"/>
  <c r="B24" i="11" s="1"/>
  <c r="B2" i="6"/>
  <c r="B6" i="11" s="1"/>
  <c r="B6" i="5"/>
  <c r="B5" i="5"/>
  <c r="B4" i="5"/>
  <c r="B3" i="5"/>
  <c r="B2" i="5"/>
  <c r="C35" i="11" l="1"/>
  <c r="C13" i="11"/>
  <c r="C63" i="11"/>
  <c r="C49" i="11"/>
  <c r="C25" i="11"/>
  <c r="C62" i="11"/>
  <c r="C27" i="11"/>
  <c r="B63" i="11"/>
  <c r="C10" i="11"/>
  <c r="B62" i="11"/>
  <c r="H62" i="11" s="1"/>
  <c r="C60" i="11"/>
  <c r="C32" i="11"/>
  <c r="C18" i="11"/>
  <c r="B60" i="11"/>
  <c r="H60" i="11" s="1"/>
  <c r="C46" i="11"/>
  <c r="C59" i="11"/>
  <c r="B59" i="11"/>
  <c r="C61" i="11"/>
  <c r="C12" i="11"/>
  <c r="C42" i="11"/>
  <c r="C15" i="11"/>
  <c r="C31" i="11"/>
  <c r="C30" i="11"/>
  <c r="C51" i="11"/>
  <c r="C52" i="11"/>
  <c r="C29" i="11"/>
  <c r="C16" i="11"/>
  <c r="C45" i="11"/>
  <c r="C6" i="11"/>
  <c r="G6" i="11" s="1" a="1"/>
  <c r="G6" i="11" s="1"/>
  <c r="C17" i="11"/>
  <c r="C8" i="11"/>
  <c r="C47" i="11"/>
  <c r="C9" i="11"/>
  <c r="C19" i="11"/>
  <c r="C33" i="11"/>
  <c r="C34" i="11"/>
  <c r="C24" i="11"/>
  <c r="G24" i="11" s="1" a="1"/>
  <c r="G24" i="11" s="1"/>
  <c r="C36" i="11"/>
  <c r="C28" i="11"/>
  <c r="C53" i="11"/>
  <c r="C44" i="11"/>
  <c r="C48" i="11"/>
  <c r="C11" i="11"/>
  <c r="C37" i="11"/>
  <c r="C14" i="11"/>
  <c r="C26" i="11"/>
  <c r="F24" i="11" s="1" a="1"/>
  <c r="F24" i="11" s="1"/>
  <c r="C50" i="11"/>
  <c r="D3" i="8"/>
  <c r="C4" i="8"/>
  <c r="D2" i="8"/>
  <c r="B2" i="10"/>
  <c r="C7" i="11"/>
  <c r="B58" i="11"/>
  <c r="B61" i="11"/>
  <c r="H61" i="11" s="1"/>
  <c r="C43" i="11"/>
  <c r="C58" i="11"/>
  <c r="F6" i="11" l="1" a="1"/>
  <c r="F6" i="11" s="1"/>
  <c r="H63" i="11"/>
  <c r="C64" i="11"/>
  <c r="F42" i="11" a="1"/>
  <c r="F42" i="11" s="1"/>
  <c r="H59" i="11"/>
  <c r="B64" i="11"/>
  <c r="H58" i="11"/>
  <c r="D4" i="8"/>
  <c r="C5" i="8"/>
  <c r="B8" i="10"/>
  <c r="B9" i="10" s="1"/>
  <c r="B5" i="10"/>
  <c r="B4" i="10"/>
  <c r="G42" i="11" a="1"/>
  <c r="G42" i="11" s="1"/>
  <c r="C6" i="8" l="1"/>
  <c r="D5" i="8"/>
  <c r="H64" i="11"/>
  <c r="F60" i="11" s="1"/>
  <c r="G58" i="11"/>
  <c r="F58" i="11"/>
  <c r="F59" i="11"/>
  <c r="F63" i="11" l="1"/>
  <c r="F62" i="11"/>
  <c r="G59" i="11"/>
  <c r="G63" i="11"/>
  <c r="G62" i="11"/>
  <c r="G60" i="11"/>
  <c r="G61" i="11"/>
  <c r="F61" i="11"/>
  <c r="C7" i="8"/>
  <c r="D7" i="8" s="1"/>
  <c r="D6" i="8"/>
  <c r="C7" i="6" l="1"/>
  <c r="C8" i="6"/>
  <c r="C10" i="6"/>
  <c r="C13" i="6"/>
  <c r="C4" i="6"/>
  <c r="C9" i="6"/>
  <c r="C11" i="6"/>
  <c r="C14" i="6"/>
  <c r="C6" i="6"/>
  <c r="C15" i="6"/>
  <c r="C12" i="6"/>
  <c r="C5" i="6"/>
  <c r="C3" i="6"/>
  <c r="D8" i="6"/>
  <c r="D7" i="6"/>
  <c r="D6" i="6"/>
  <c r="D11" i="6"/>
  <c r="D15" i="6"/>
  <c r="D5" i="6"/>
  <c r="D10" i="6"/>
  <c r="D4" i="6"/>
  <c r="D9" i="6"/>
  <c r="D14" i="6"/>
  <c r="D3" i="6"/>
  <c r="D12" i="6"/>
  <c r="D1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<sst xmlns="http://schemas.openxmlformats.org/spreadsheetml/2006/main" count="770" uniqueCount="245">
  <si>
    <t>Date</t>
  </si>
  <si>
    <t>Shift</t>
  </si>
  <si>
    <t>SKU</t>
  </si>
  <si>
    <t>Bin_Location</t>
  </si>
  <si>
    <t>System_Count</t>
  </si>
  <si>
    <t>Physical_Count</t>
  </si>
  <si>
    <t>Abs_Variance</t>
  </si>
  <si>
    <t>Discrepancy_Rate_%</t>
  </si>
  <si>
    <t>Counter_Initials</t>
  </si>
  <si>
    <t>AM</t>
  </si>
  <si>
    <t>PM</t>
  </si>
  <si>
    <t>ZoneA-32</t>
  </si>
  <si>
    <t>ZoneA-38</t>
  </si>
  <si>
    <t>ZoneA-14</t>
  </si>
  <si>
    <t>ZoneA-13</t>
  </si>
  <si>
    <t>ZoneA-34</t>
  </si>
  <si>
    <t>ZoneA-48</t>
  </si>
  <si>
    <t>ZoneA-28</t>
  </si>
  <si>
    <t>ZoneA-8</t>
  </si>
  <si>
    <t>ZoneA-20</t>
  </si>
  <si>
    <t>ZoneA-49</t>
  </si>
  <si>
    <t>ZoneA-2</t>
  </si>
  <si>
    <t>ZoneA-19</t>
  </si>
  <si>
    <t>ZoneA-31</t>
  </si>
  <si>
    <t>ZoneA-1</t>
  </si>
  <si>
    <t>ZoneA-9</t>
  </si>
  <si>
    <t>ZoneA-18</t>
  </si>
  <si>
    <t>ZoneA-37</t>
  </si>
  <si>
    <t>ZoneA-17</t>
  </si>
  <si>
    <t>ZoneA-26</t>
  </si>
  <si>
    <t>ZoneA-11</t>
  </si>
  <si>
    <t>ZoneA-33</t>
  </si>
  <si>
    <t>ZoneA-22</t>
  </si>
  <si>
    <t>ZoneA-46</t>
  </si>
  <si>
    <t>ZoneA-39</t>
  </si>
  <si>
    <t>ZoneA-27</t>
  </si>
  <si>
    <t>ZoneA-24</t>
  </si>
  <si>
    <t>ZoneA-43</t>
  </si>
  <si>
    <t>ZoneA-47</t>
  </si>
  <si>
    <t>ZoneA-35</t>
  </si>
  <si>
    <t>ZoneA-7</t>
  </si>
  <si>
    <t>ZoneA-3</t>
  </si>
  <si>
    <t>ZoneA-15</t>
  </si>
  <si>
    <t>ZoneA-10</t>
  </si>
  <si>
    <t>ZoneA-25</t>
  </si>
  <si>
    <t>ZoneA-5</t>
  </si>
  <si>
    <t>ZoneA-4</t>
  </si>
  <si>
    <t>ZoneA-40</t>
  </si>
  <si>
    <t>ZoneA-21</t>
  </si>
  <si>
    <t>ZoneA-6</t>
  </si>
  <si>
    <t>ZoneA-30</t>
  </si>
  <si>
    <t>ZoneA-36</t>
  </si>
  <si>
    <t>ZoneA-12</t>
  </si>
  <si>
    <t>ZoneA-41</t>
  </si>
  <si>
    <t>Faith</t>
  </si>
  <si>
    <t>Jake</t>
  </si>
  <si>
    <t>Brandon</t>
  </si>
  <si>
    <t>Yash</t>
  </si>
  <si>
    <t>Hunter</t>
  </si>
  <si>
    <t>Discrepancy_ID</t>
  </si>
  <si>
    <t>Detected_Timestamp</t>
  </si>
  <si>
    <t>Resolved_Timestamp</t>
  </si>
  <si>
    <t>Reconciliation_Time_hours</t>
  </si>
  <si>
    <t>Owner</t>
  </si>
  <si>
    <t>Notes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</si>
  <si>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</si>
  <si>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</si>
  <si>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</si>
  <si>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</si>
  <si>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</si>
  <si>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</si>
  <si>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</si>
  <si>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</si>
  <si>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</si>
  <si>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</si>
  <si>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</si>
  <si>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</si>
  <si>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</si>
  <si>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</si>
  <si>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</si>
  <si>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</si>
  <si>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</si>
  <si>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</si>
  <si>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</si>
  <si>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</si>
  <si>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</si>
  <si>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</si>
  <si>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</si>
  <si>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</si>
  <si>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</si>
  <si>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</si>
  <si>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</si>
  <si>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</si>
  <si>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</si>
  <si>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</si>
  <si>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</si>
  <si>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</si>
  <si>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</si>
  <si>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</si>
  <si>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</si>
  <si>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</si>
  <si>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</si>
  <si>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</si>
  <si>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</si>
  <si>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</si>
  <si>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</si>
  <si>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</si>
  <si>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</si>
  <si>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</si>
  <si>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</si>
  <si>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</si>
  <si>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</si>
  <si>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</si>
  <si>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</si>
  <si>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</si>
  <si>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Pending</t>
  </si>
  <si>
    <t>Checked</t>
  </si>
  <si>
    <t>Resolved</t>
  </si>
  <si>
    <t>Picker_ID</t>
  </si>
  <si>
    <t>Order_ID</t>
  </si>
  <si>
    <t>Start_Timestamp</t>
  </si>
  <si>
    <t>End_Timestamp</t>
  </si>
  <si>
    <t>Picking_Time_min</t>
  </si>
  <si>
    <t>Exception_Flag</t>
  </si>
  <si>
    <t>O2623</t>
  </si>
  <si>
    <t>O8867</t>
  </si>
  <si>
    <t>O7626</t>
  </si>
  <si>
    <t>O6288</t>
  </si>
  <si>
    <t>O6466</t>
  </si>
  <si>
    <t>O8202</t>
  </si>
  <si>
    <t>O2873</t>
  </si>
  <si>
    <t>O6904</t>
  </si>
  <si>
    <t>O5014</t>
  </si>
  <si>
    <t>O5818</t>
  </si>
  <si>
    <t>O9533</t>
  </si>
  <si>
    <t>O7073</t>
  </si>
  <si>
    <t>O3959</t>
  </si>
  <si>
    <t>O1739</t>
  </si>
  <si>
    <t>O7574</t>
  </si>
  <si>
    <t>O6764</t>
  </si>
  <si>
    <t>O2550</t>
  </si>
  <si>
    <t>O2721</t>
  </si>
  <si>
    <t>O7780</t>
  </si>
  <si>
    <t>O3647</t>
  </si>
  <si>
    <t>O8522</t>
  </si>
  <si>
    <t>O8923</t>
  </si>
  <si>
    <t>O9004</t>
  </si>
  <si>
    <t>O9251</t>
  </si>
  <si>
    <t>O8268</t>
  </si>
  <si>
    <t>O5988</t>
  </si>
  <si>
    <t>O6485</t>
  </si>
  <si>
    <t>O4101</t>
  </si>
  <si>
    <t>O4939</t>
  </si>
  <si>
    <t>O1008</t>
  </si>
  <si>
    <t>Exception</t>
  </si>
  <si>
    <t>On time</t>
  </si>
  <si>
    <t>Damaged packaging</t>
  </si>
  <si>
    <t>Minor delay</t>
  </si>
  <si>
    <t>Cause_Category</t>
  </si>
  <si>
    <t>Detail_Notes</t>
  </si>
  <si>
    <t>Corrective_Action</t>
  </si>
  <si>
    <t>Verification_Date</t>
  </si>
  <si>
    <t>RC001</t>
  </si>
  <si>
    <t>RC002</t>
  </si>
  <si>
    <t>RC003</t>
  </si>
  <si>
    <t>RC004</t>
  </si>
  <si>
    <t>RC005</t>
  </si>
  <si>
    <t>RC006</t>
  </si>
  <si>
    <t>RC007</t>
  </si>
  <si>
    <t>RC008</t>
  </si>
  <si>
    <t>RC009</t>
  </si>
  <si>
    <t>RC010</t>
  </si>
  <si>
    <t>RC011</t>
  </si>
  <si>
    <t>RC012</t>
  </si>
  <si>
    <t>RC013</t>
  </si>
  <si>
    <t>RC014</t>
  </si>
  <si>
    <t>RC015</t>
  </si>
  <si>
    <t>RC016</t>
  </si>
  <si>
    <t>RC017</t>
  </si>
  <si>
    <t>RC018</t>
  </si>
  <si>
    <t>RC019</t>
  </si>
  <si>
    <t>RC020</t>
  </si>
  <si>
    <t>System Lag</t>
  </si>
  <si>
    <t>Misplaced</t>
  </si>
  <si>
    <t>Mis-scan</t>
  </si>
  <si>
    <t>Wrong UoM</t>
  </si>
  <si>
    <t>Counting Error</t>
  </si>
  <si>
    <t>Damaged/Return</t>
  </si>
  <si>
    <t>Counting error by temp staff</t>
  </si>
  <si>
    <t>Mis-scan - label damaged</t>
  </si>
  <si>
    <t>Found misplaced in Zone B</t>
  </si>
  <si>
    <t>Wrong UoM setup</t>
  </si>
  <si>
    <t>Reprinted barcode label</t>
  </si>
  <si>
    <t>Added double-check process</t>
  </si>
  <si>
    <t>Retrained staff</t>
  </si>
  <si>
    <t>Updated SOP</t>
  </si>
  <si>
    <t>Metric</t>
  </si>
  <si>
    <t>Value (Linked)</t>
  </si>
  <si>
    <t>Inventory Accuracy % (overall)</t>
  </si>
  <si>
    <t>Avg Discrepancy Rate %</t>
  </si>
  <si>
    <t>Avg Reconciliation Time (hrs)</t>
  </si>
  <si>
    <t>Avg Picking Time (min)</t>
  </si>
  <si>
    <t>Total Root Cause Records</t>
  </si>
  <si>
    <t>Avg Discrepancy Rate</t>
  </si>
  <si>
    <t>Mean</t>
  </si>
  <si>
    <t>UCL (+3σ)</t>
  </si>
  <si>
    <t>LCL (-3σ)</t>
  </si>
  <si>
    <t>Avg Recon Hours</t>
  </si>
  <si>
    <t>Avg Pick Min</t>
  </si>
  <si>
    <t>Count</t>
  </si>
  <si>
    <t>Cum_Count</t>
  </si>
  <si>
    <t>Cum_Pct</t>
  </si>
  <si>
    <t>Sigma &amp; Control Limit Calculations (Linked to Daily_Metrics)</t>
  </si>
  <si>
    <t>Mean (μ)</t>
  </si>
  <si>
    <t>Std Dev (σ)</t>
  </si>
  <si>
    <t>UCL (μ + 3σ)</t>
  </si>
  <si>
    <t>LCL (μ - 3σ)</t>
  </si>
  <si>
    <t>Target Discrepancy Rate % (USL)</t>
  </si>
  <si>
    <t>Sigma Level (Z) vs USL</t>
  </si>
  <si>
    <t>Estimated DPMO (one-sided vs USL)</t>
  </si>
  <si>
    <t>Cutover_Date (After = Date &gt; Cutover)</t>
  </si>
  <si>
    <t>Edit B1 to your actual process change date. All tests below update automatically.</t>
  </si>
  <si>
    <t>Inventory Discrepancy Rate (%) - Before/After Split</t>
  </si>
  <si>
    <t>Avg_Discrep_Rate</t>
  </si>
  <si>
    <t>Group (Before/After)</t>
  </si>
  <si>
    <t>Before_Rates</t>
  </si>
  <si>
    <t>After_Rates</t>
  </si>
  <si>
    <t>One-tailed t-test (H1: After &lt; Before)</t>
  </si>
  <si>
    <t>Reconciliation Time (hrs) - Before/After Split</t>
  </si>
  <si>
    <t>Avg_Recon_Hours</t>
  </si>
  <si>
    <t>Group</t>
  </si>
  <si>
    <t>Before_Hours</t>
  </si>
  <si>
    <t>After_Hours</t>
  </si>
  <si>
    <t>Picking Time (min) - Before/After Split</t>
  </si>
  <si>
    <t>Avg_Pick_Min</t>
  </si>
  <si>
    <t>Before_Min</t>
  </si>
  <si>
    <t>After_Min</t>
  </si>
  <si>
    <t>Root Cause Frequency - Chi-Square Test (Before vs After)</t>
  </si>
  <si>
    <t>Cause</t>
  </si>
  <si>
    <t>Before_Count</t>
  </si>
  <si>
    <t>After_Count</t>
  </si>
  <si>
    <t>Chi-square p-value</t>
  </si>
  <si>
    <t>Before_Expected</t>
  </si>
  <si>
    <t>After_Expected</t>
  </si>
  <si>
    <t>Row_Total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</si>
</sst>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Control Chart - Discrepancy Rate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Discrepancy Rate %</c:v>
          </c:tx>
          <c:marker>
            <c:symbol val="none"/>
          </c:marker>
          <c:cat>
            <c:numRef>
              <c:f>Daily_Metrics!$A$2:$A$15</c:f>
              <c:numCache>
                <c:formatCode>m/d/yyyy</c:formatCode>
                <c:ptCount val="14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</c:numCache>
            </c:numRef>
          </c:cat>
          <c:val>
            <c:numRef>
              <c:f>Daily_Metrics!$B$2:$B$15</c:f>
              <c:numCache>
                <c:formatCode>General</c:formatCode>
                <c:ptCount val="14"/>
                <c:pt idx="0">
                  <c:v>9.9324999999999992</c:v>
                </c:pt>
                <c:pt idx="1">
                  <c:v>2.78</c:v>
                </c:pt>
                <c:pt idx="2">
                  <c:v>10.846666666666668</c:v>
                </c:pt>
                <c:pt idx="3">
                  <c:v>8.4700000000000006</c:v>
                </c:pt>
                <c:pt idx="4">
                  <c:v>18.275714285714283</c:v>
                </c:pt>
                <c:pt idx="5">
                  <c:v>8.4578571428571419</c:v>
                </c:pt>
                <c:pt idx="6">
                  <c:v>8.2966666666666669</c:v>
                </c:pt>
                <c:pt idx="7">
                  <c:v>6.2555555555555555</c:v>
                </c:pt>
                <c:pt idx="8">
                  <c:v>11.80875</c:v>
                </c:pt>
                <c:pt idx="9">
                  <c:v>11.501666666666667</c:v>
                </c:pt>
                <c:pt idx="10">
                  <c:v>7.748333333333334</c:v>
                </c:pt>
                <c:pt idx="11">
                  <c:v>8.3125</c:v>
                </c:pt>
                <c:pt idx="12">
                  <c:v>15.851666666666667</c:v>
                </c:pt>
                <c:pt idx="13">
                  <c:v>13.212499999999999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C-41D2-99D0-EA9405698C69}"/>
            </c:ext>
          </c:extLst>
        </c:ser>
        <c:ser>
          <c:idx val="1"/>
          <c:order val="1"/>
          <c:tx>
            <c:v>Mean</c:v>
          </c:tx>
          <c:marker>
            <c:symbol val="none"/>
          </c:marker>
          <c:cat>
            <c:numRef>
              <c:f>Daily_Metrics!$A$2:$A$15</c:f>
              <c:numCache>
                <c:formatCode>m/d/yyyy</c:formatCode>
                <c:ptCount val="14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</c:numCache>
            </c:numRef>
          </c:cat>
          <c:val>
            <c:numRef>
              <c:f>Daily_Metrics!$C$2:$C$15</c:f>
              <c:numCache>
                <c:formatCode>General</c:formatCode>
                <c:ptCount val="14"/>
                <c:pt idx="0">
                  <c:v>10.125026927437643</c:v>
                </c:pt>
                <c:pt idx="1">
                  <c:v>10.125026927437643</c:v>
                </c:pt>
                <c:pt idx="2">
                  <c:v>10.125026927437643</c:v>
                </c:pt>
                <c:pt idx="3">
                  <c:v>10.125026927437643</c:v>
                </c:pt>
                <c:pt idx="4">
                  <c:v>10.125026927437643</c:v>
                </c:pt>
                <c:pt idx="5">
                  <c:v>10.125026927437643</c:v>
                </c:pt>
                <c:pt idx="6">
                  <c:v>10.125026927437643</c:v>
                </c:pt>
                <c:pt idx="7">
                  <c:v>10.125026927437643</c:v>
                </c:pt>
                <c:pt idx="8">
                  <c:v>10.125026927437643</c:v>
                </c:pt>
                <c:pt idx="9">
                  <c:v>10.125026927437643</c:v>
                </c:pt>
                <c:pt idx="10">
                  <c:v>10.125026927437643</c:v>
                </c:pt>
                <c:pt idx="11">
                  <c:v>10.125026927437643</c:v>
                </c:pt>
                <c:pt idx="12">
                  <c:v>10.125026927437643</c:v>
                </c:pt>
                <c:pt idx="13">
                  <c:v>10.125026927437643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C-41D2-99D0-EA9405698C69}"/>
            </c:ext>
          </c:extLst>
        </c:ser>
        <c:ser>
          <c:idx val="2"/>
          <c:order val="2"/>
          <c:tx>
            <c:v>UCL (+3σ)</c:v>
          </c:tx>
          <c:marker>
            <c:symbol val="none"/>
          </c:marker>
          <c:cat>
            <c:numRef>
              <c:f>Daily_Metrics!$A$2:$A$15</c:f>
              <c:numCache>
                <c:formatCode>m/d/yyyy</c:formatCode>
                <c:ptCount val="14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</c:numCache>
            </c:numRef>
          </c:cat>
          <c:val>
            <c:numRef>
              <c:f>Daily_Metrics!$D$2:$D$15</c:f>
              <c:numCache>
                <c:formatCode>General</c:formatCode>
                <c:ptCount val="14"/>
                <c:pt idx="0">
                  <c:v>21.914510592193658</c:v>
                </c:pt>
                <c:pt idx="1">
                  <c:v>21.914510592193658</c:v>
                </c:pt>
                <c:pt idx="2">
                  <c:v>21.914510592193658</c:v>
                </c:pt>
                <c:pt idx="3">
                  <c:v>21.914510592193658</c:v>
                </c:pt>
                <c:pt idx="4">
                  <c:v>21.914510592193658</c:v>
                </c:pt>
                <c:pt idx="5">
                  <c:v>21.914510592193658</c:v>
                </c:pt>
                <c:pt idx="6">
                  <c:v>21.914510592193658</c:v>
                </c:pt>
                <c:pt idx="7">
                  <c:v>21.914510592193658</c:v>
                </c:pt>
                <c:pt idx="8">
                  <c:v>21.914510592193658</c:v>
                </c:pt>
                <c:pt idx="9">
                  <c:v>21.914510592193658</c:v>
                </c:pt>
                <c:pt idx="10">
                  <c:v>21.914510592193658</c:v>
                </c:pt>
                <c:pt idx="11">
                  <c:v>21.914510592193658</c:v>
                </c:pt>
                <c:pt idx="12">
                  <c:v>21.914510592193658</c:v>
                </c:pt>
                <c:pt idx="13">
                  <c:v>21.914510592193658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1C-41D2-99D0-EA9405698C69}"/>
            </c:ext>
          </c:extLst>
        </c:ser>
        <c:ser>
          <c:idx val="3"/>
          <c:order val="3"/>
          <c:tx>
            <c:v>LCL (-3σ)</c:v>
          </c:tx>
          <c:marker>
            <c:symbol val="none"/>
          </c:marker>
          <c:cat>
            <c:numRef>
              <c:f>Daily_Metrics!$A$2:$A$15</c:f>
              <c:numCache>
                <c:formatCode>m/d/yyyy</c:formatCode>
                <c:ptCount val="14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</c:numCache>
            </c:numRef>
          </c:cat>
          <c:val>
            <c:numRef>
              <c:f>Daily_Metrics!$E$2:$E$15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1C-41D2-99D0-EA9405698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Discrepancy Rate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Discrepancy Rate by Technician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Discrepancy Rate %</c:v>
          </c:tx>
          <c:invertIfNegative val="0"/>
          <c:cat>
            <c:strRef>
              <c:f>Technician_Comparison!$A$2:$A$6</c:f>
              <c:strCache>
                <c:ptCount val="5"/>
                <c:pt idx="0">
                  <c:v>Brandon</c:v>
                </c:pt>
                <c:pt idx="1">
                  <c:v>Faith</c:v>
                </c:pt>
                <c:pt idx="2">
                  <c:v>Hunter</c:v>
                </c:pt>
                <c:pt idx="3">
                  <c:v>Jake</c:v>
                </c:pt>
                <c:pt idx="4">
                  <c:v>Yash</c:v>
                </c:pt>
              </c:strCache>
            </c:strRef>
          </c:cat>
          <c:val>
            <c:numRef>
              <c:f>Technician_Comparison!$B$2:$B$6</c:f>
              <c:numCache>
                <c:formatCode>General</c:formatCode>
                <c:ptCount val="5"/>
                <c:pt idx="0">
                  <c:v>12.408571428571427</c:v>
                </c:pt>
                <c:pt idx="1">
                  <c:v>8.0039999999999996</c:v>
                </c:pt>
                <c:pt idx="2">
                  <c:v>11.880416666666667</c:v>
                </c:pt>
                <c:pt idx="3">
                  <c:v>11.12</c:v>
                </c:pt>
                <c:pt idx="4">
                  <c:v>7.2149999999999999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1-43F8-B9BA-E91D98546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Technician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Discrepancy Rate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Pareto - Root Causes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0"/>
          <c:cat>
            <c:strRef>
              <c:f>Pareto_Causes!$A$2:$A$7</c:f>
              <c:strCache>
                <c:ptCount val="6"/>
                <c:pt idx="0">
                  <c:v>Counting Error</c:v>
                </c:pt>
                <c:pt idx="1">
                  <c:v>Damaged/Return</c:v>
                </c:pt>
                <c:pt idx="2">
                  <c:v>Mis-scan</c:v>
                </c:pt>
                <c:pt idx="3">
                  <c:v>Misplaced</c:v>
                </c:pt>
                <c:pt idx="4">
                  <c:v>System Lag</c:v>
                </c:pt>
                <c:pt idx="5">
                  <c:v>Wrong UoM</c:v>
                </c:pt>
              </c:strCache>
            </c:strRef>
          </c:cat>
          <c:val>
            <c:numRef>
              <c:f>Pareto_Causes!$B$2:$B$7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D-4D15-9A4B-D8334605E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lineChart>
        <c:grouping val="standard"/>
        <c:varyColors val="0"/>
        <c:ser>
          <c:idx val="1"/>
          <c:order val="1"/>
          <c:tx>
            <c:v>Cumulative %</c:v>
          </c:tx>
          <c:marker>
            <c:symbol val="none"/>
          </c:marker>
          <c:cat>
            <c:strRef>
              <c:f>Pareto_Causes!$A$2:$A$7</c:f>
              <c:strCache>
                <c:ptCount val="6"/>
                <c:pt idx="0">
                  <c:v>Counting Error</c:v>
                </c:pt>
                <c:pt idx="1">
                  <c:v>Damaged/Return</c:v>
                </c:pt>
                <c:pt idx="2">
                  <c:v>Mis-scan</c:v>
                </c:pt>
                <c:pt idx="3">
                  <c:v>Misplaced</c:v>
                </c:pt>
                <c:pt idx="4">
                  <c:v>System Lag</c:v>
                </c:pt>
                <c:pt idx="5">
                  <c:v>Wrong UoM</c:v>
                </c:pt>
              </c:strCache>
            </c:strRef>
          </c:cat>
          <c:val>
            <c:numRef>
              <c:f>Pareto_Causes!$D$2:$D$7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65</c:v>
                </c:pt>
                <c:pt idx="4">
                  <c:v>85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D-4D15-9A4B-D8334605E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001"/>
        <c:axId val="6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Cause Category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3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Reconciliation Time (hrs) by Date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Reconciliation Time (hrs)</c:v>
          </c:tx>
          <c:marker>
            <c:symbol val="none"/>
          </c:marker>
          <c:cat>
            <c:numRef>
              <c:f>Daily_Metrics!$G$2:$G$15</c:f>
              <c:numCache>
                <c:formatCode>m/d/yyyy</c:formatCode>
                <c:ptCount val="14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</c:numCache>
            </c:numRef>
          </c:cat>
          <c:val>
            <c:numRef>
              <c:f>Daily_Metrics!$H$2:$H$15</c:f>
              <c:numCache>
                <c:formatCode>General</c:formatCode>
                <c:ptCount val="14"/>
                <c:pt idx="0">
                  <c:v>4.9366666666666665</c:v>
                </c:pt>
                <c:pt idx="1">
                  <c:v>5.3819999999999997</c:v>
                </c:pt>
                <c:pt idx="2">
                  <c:v>4.0650000000000004</c:v>
                </c:pt>
                <c:pt idx="3">
                  <c:v>3.686666666666667</c:v>
                </c:pt>
                <c:pt idx="4">
                  <c:v>6.4</c:v>
                </c:pt>
                <c:pt idx="5">
                  <c:v>2.7759999999999998</c:v>
                </c:pt>
                <c:pt idx="6">
                  <c:v>5.0866666666666669</c:v>
                </c:pt>
                <c:pt idx="7">
                  <c:v>4.2699999999999996</c:v>
                </c:pt>
                <c:pt idx="8">
                  <c:v>4.5266666666666664</c:v>
                </c:pt>
                <c:pt idx="9">
                  <c:v>3.4324999999999997</c:v>
                </c:pt>
                <c:pt idx="10">
                  <c:v>2.42</c:v>
                </c:pt>
                <c:pt idx="11">
                  <c:v>4.2849999999999993</c:v>
                </c:pt>
                <c:pt idx="12">
                  <c:v>4.5333333333333341</c:v>
                </c:pt>
                <c:pt idx="13">
                  <c:v>5.2539999999999996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5-49D6-A156-D3DA55F7C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date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50040002"/>
        <c:crosses val="autoZero"/>
        <c:auto val="1"/>
        <c:lblOffset val="100"/>
        <c:baseTimeUnit val="days"/>
      </c:date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Picking Time (min) by Date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Picking Time (min)</c:v>
          </c:tx>
          <c:marker>
            <c:symbol val="none"/>
          </c:marker>
          <c:cat>
            <c:numRef>
              <c:f>Daily_Metrics!$K$2:$K$13</c:f>
              <c:numCache>
                <c:formatCode>m/d/yyyy</c:formatCode>
                <c:ptCount val="12"/>
                <c:pt idx="0">
                  <c:v>45922</c:v>
                </c:pt>
                <c:pt idx="1">
                  <c:v>45923</c:v>
                </c:pt>
                <c:pt idx="2">
                  <c:v>45925</c:v>
                </c:pt>
                <c:pt idx="3">
                  <c:v>45926</c:v>
                </c:pt>
                <c:pt idx="4">
                  <c:v>45927</c:v>
                </c:pt>
                <c:pt idx="5">
                  <c:v>45929</c:v>
                </c:pt>
                <c:pt idx="6">
                  <c:v>45930</c:v>
                </c:pt>
                <c:pt idx="7">
                  <c:v>45931</c:v>
                </c:pt>
                <c:pt idx="8">
                  <c:v>45932</c:v>
                </c:pt>
                <c:pt idx="9">
                  <c:v>45933</c:v>
                </c:pt>
                <c:pt idx="10">
                  <c:v>45934</c:v>
                </c:pt>
                <c:pt idx="11">
                  <c:v>45935</c:v>
                </c:pt>
              </c:numCache>
            </c:numRef>
          </c:cat>
          <c:val>
            <c:numRef>
              <c:f>Daily_Metrics!$L$2:$L$13</c:f>
              <c:numCache>
                <c:formatCode>General</c:formatCode>
                <c:ptCount val="12"/>
                <c:pt idx="0">
                  <c:v>18</c:v>
                </c:pt>
                <c:pt idx="1">
                  <c:v>9</c:v>
                </c:pt>
                <c:pt idx="2">
                  <c:v>15</c:v>
                </c:pt>
                <c:pt idx="3">
                  <c:v>14.666666666666666</c:v>
                </c:pt>
                <c:pt idx="4">
                  <c:v>16</c:v>
                </c:pt>
                <c:pt idx="5">
                  <c:v>10</c:v>
                </c:pt>
                <c:pt idx="6">
                  <c:v>14.833333333333334</c:v>
                </c:pt>
                <c:pt idx="7">
                  <c:v>25</c:v>
                </c:pt>
                <c:pt idx="8">
                  <c:v>19.5</c:v>
                </c:pt>
                <c:pt idx="9">
                  <c:v>22.5</c:v>
                </c:pt>
                <c:pt idx="10">
                  <c:v>18</c:v>
                </c:pt>
                <c:pt idx="11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B-4EA1-B3DB-FCFBA2C33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50050002"/>
        <c:crosses val="autoZero"/>
        <c:auto val="1"/>
        <c:lblOffset val="100"/>
        <c:baseTimeUnit val="days"/>
      </c:date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10</xdr:col>
      <xdr:colOff>76200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76200</xdr:colOff>
      <xdr:row>36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281066</xdr:colOff>
      <xdr:row>1</xdr:row>
      <xdr:rowOff>10410</xdr:rowOff>
    </xdr:from>
    <xdr:to>
      <xdr:col>19</xdr:col>
      <xdr:colOff>509666</xdr:colOff>
      <xdr:row>16</xdr:row>
      <xdr:rowOff>172335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260247</xdr:colOff>
      <xdr:row>20</xdr:row>
      <xdr:rowOff>176967</xdr:rowOff>
    </xdr:from>
    <xdr:to>
      <xdr:col>19</xdr:col>
      <xdr:colOff>488847</xdr:colOff>
      <xdr:row>36</xdr:row>
      <xdr:rowOff>151515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10</xdr:col>
      <xdr:colOff>76200</xdr:colOff>
      <xdr:row>56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zoomScale="79" workbookViewId="0">
      <selection activeCell="J1" sqref="J1"/>
    </sheetView>
  </sheetViews>
  <sheetFormatPr defaultRowHeight="14.5" x14ac:dyDescent="0.35"/>
  <cols>
    <col min="1" max="1" width="13.90625" customWidth="1"/>
    <col min="4" max="4" width="11.54296875" bestFit="1" customWidth="1"/>
    <col min="5" max="5" width="13" bestFit="1" customWidth="1"/>
    <col min="6" max="6" width="13.6328125" bestFit="1" customWidth="1"/>
    <col min="7" max="7" width="12.1796875" bestFit="1" customWidth="1"/>
    <col min="8" max="8" width="18.26953125" bestFit="1" customWidth="1"/>
    <col min="9" max="9" width="14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45926</v>
      </c>
      <c r="B2" t="s">
        <v>9</v>
      </c>
      <c r="C2">
        <v>235292</v>
      </c>
      <c r="D2" t="s">
        <v>11</v>
      </c>
      <c r="E2">
        <v>14</v>
      </c>
      <c r="F2">
        <v>12</v>
      </c>
      <c r="G2">
        <v>2</v>
      </c>
      <c r="H2">
        <v>14.29</v>
      </c>
      <c r="I2" t="s">
        <v>54</v>
      </c>
    </row>
    <row r="3" spans="1:9" x14ac:dyDescent="0.35">
      <c r="A3" s="2">
        <v>45930</v>
      </c>
      <c r="B3" t="s">
        <v>9</v>
      </c>
      <c r="C3">
        <v>461432</v>
      </c>
      <c r="D3" t="s">
        <v>12</v>
      </c>
      <c r="E3">
        <v>13</v>
      </c>
      <c r="F3">
        <v>14</v>
      </c>
      <c r="G3">
        <v>1</v>
      </c>
      <c r="H3">
        <v>7.69</v>
      </c>
      <c r="I3" t="s">
        <v>55</v>
      </c>
    </row>
    <row r="4" spans="1:9" x14ac:dyDescent="0.35">
      <c r="A4" s="2">
        <v>45927</v>
      </c>
      <c r="B4" t="s">
        <v>10</v>
      </c>
      <c r="C4">
        <v>145594</v>
      </c>
      <c r="D4" t="s">
        <v>13</v>
      </c>
      <c r="E4">
        <v>16</v>
      </c>
      <c r="F4">
        <v>16</v>
      </c>
      <c r="G4">
        <v>0</v>
      </c>
      <c r="H4">
        <v>0</v>
      </c>
      <c r="I4" t="s">
        <v>56</v>
      </c>
    </row>
    <row r="5" spans="1:9" x14ac:dyDescent="0.35">
      <c r="A5" s="2">
        <v>45924</v>
      </c>
      <c r="B5" t="s">
        <v>10</v>
      </c>
      <c r="C5">
        <v>443977</v>
      </c>
      <c r="D5" t="s">
        <v>14</v>
      </c>
      <c r="E5">
        <v>6</v>
      </c>
      <c r="F5">
        <v>7</v>
      </c>
      <c r="G5">
        <v>1</v>
      </c>
      <c r="H5">
        <v>16.670000000000002</v>
      </c>
      <c r="I5" t="s">
        <v>56</v>
      </c>
    </row>
    <row r="6" spans="1:9" x14ac:dyDescent="0.35">
      <c r="A6" s="2">
        <v>45935</v>
      </c>
      <c r="B6" t="s">
        <v>9</v>
      </c>
      <c r="C6">
        <v>989345</v>
      </c>
      <c r="D6" t="s">
        <v>15</v>
      </c>
      <c r="E6">
        <v>5</v>
      </c>
      <c r="F6">
        <v>7</v>
      </c>
      <c r="G6">
        <v>2</v>
      </c>
      <c r="H6">
        <v>40</v>
      </c>
      <c r="I6" t="s">
        <v>55</v>
      </c>
    </row>
    <row r="7" spans="1:9" x14ac:dyDescent="0.35">
      <c r="A7" s="2">
        <v>45933</v>
      </c>
      <c r="B7" t="s">
        <v>9</v>
      </c>
      <c r="C7">
        <v>683418</v>
      </c>
      <c r="D7" t="s">
        <v>16</v>
      </c>
      <c r="E7">
        <v>16</v>
      </c>
      <c r="F7">
        <v>17</v>
      </c>
      <c r="G7">
        <v>1</v>
      </c>
      <c r="H7">
        <v>6.25</v>
      </c>
      <c r="I7" t="s">
        <v>57</v>
      </c>
    </row>
    <row r="8" spans="1:9" x14ac:dyDescent="0.35">
      <c r="A8" s="2">
        <v>45925</v>
      </c>
      <c r="B8" t="s">
        <v>10</v>
      </c>
      <c r="C8">
        <v>505790</v>
      </c>
      <c r="D8" t="s">
        <v>17</v>
      </c>
      <c r="E8">
        <v>9</v>
      </c>
      <c r="F8">
        <v>10</v>
      </c>
      <c r="G8">
        <v>1</v>
      </c>
      <c r="H8">
        <v>11.11</v>
      </c>
      <c r="I8" t="s">
        <v>57</v>
      </c>
    </row>
    <row r="9" spans="1:9" x14ac:dyDescent="0.35">
      <c r="A9" s="2">
        <v>45933</v>
      </c>
      <c r="B9" t="s">
        <v>9</v>
      </c>
      <c r="C9">
        <v>936952</v>
      </c>
      <c r="D9" t="s">
        <v>18</v>
      </c>
      <c r="E9">
        <v>6</v>
      </c>
      <c r="F9">
        <v>4</v>
      </c>
      <c r="G9">
        <v>2</v>
      </c>
      <c r="H9">
        <v>33.33</v>
      </c>
      <c r="I9" t="s">
        <v>56</v>
      </c>
    </row>
    <row r="10" spans="1:9" x14ac:dyDescent="0.35">
      <c r="A10" s="2">
        <v>45927</v>
      </c>
      <c r="B10" t="s">
        <v>9</v>
      </c>
      <c r="C10">
        <v>799115</v>
      </c>
      <c r="D10" t="s">
        <v>16</v>
      </c>
      <c r="E10">
        <v>21</v>
      </c>
      <c r="F10">
        <v>21</v>
      </c>
      <c r="G10">
        <v>0</v>
      </c>
      <c r="H10">
        <v>0</v>
      </c>
      <c r="I10" t="s">
        <v>57</v>
      </c>
    </row>
    <row r="11" spans="1:9" x14ac:dyDescent="0.35">
      <c r="A11" s="2">
        <v>45934</v>
      </c>
      <c r="B11" t="s">
        <v>10</v>
      </c>
      <c r="C11">
        <v>527008</v>
      </c>
      <c r="D11" t="s">
        <v>19</v>
      </c>
      <c r="E11">
        <v>14</v>
      </c>
      <c r="F11">
        <v>16</v>
      </c>
      <c r="G11">
        <v>2</v>
      </c>
      <c r="H11">
        <v>14.29</v>
      </c>
      <c r="I11" t="s">
        <v>57</v>
      </c>
    </row>
    <row r="12" spans="1:9" x14ac:dyDescent="0.35">
      <c r="A12" s="2">
        <v>45927</v>
      </c>
      <c r="B12" t="s">
        <v>10</v>
      </c>
      <c r="C12">
        <v>256598</v>
      </c>
      <c r="D12" t="s">
        <v>20</v>
      </c>
      <c r="E12">
        <v>23</v>
      </c>
      <c r="F12">
        <v>23</v>
      </c>
      <c r="G12">
        <v>0</v>
      </c>
      <c r="H12">
        <v>0</v>
      </c>
      <c r="I12" t="s">
        <v>58</v>
      </c>
    </row>
    <row r="13" spans="1:9" x14ac:dyDescent="0.35">
      <c r="A13" s="2">
        <v>45935</v>
      </c>
      <c r="B13" t="s">
        <v>9</v>
      </c>
      <c r="C13">
        <v>678394</v>
      </c>
      <c r="D13" t="s">
        <v>19</v>
      </c>
      <c r="E13">
        <v>30</v>
      </c>
      <c r="F13">
        <v>29</v>
      </c>
      <c r="G13">
        <v>1</v>
      </c>
      <c r="H13">
        <v>3.33</v>
      </c>
      <c r="I13" t="s">
        <v>58</v>
      </c>
    </row>
    <row r="14" spans="1:9" x14ac:dyDescent="0.35">
      <c r="A14" s="2">
        <v>45932</v>
      </c>
      <c r="B14" t="s">
        <v>9</v>
      </c>
      <c r="C14">
        <v>245107</v>
      </c>
      <c r="D14" t="s">
        <v>21</v>
      </c>
      <c r="E14">
        <v>28</v>
      </c>
      <c r="F14">
        <v>28</v>
      </c>
      <c r="G14">
        <v>0</v>
      </c>
      <c r="H14">
        <v>0</v>
      </c>
      <c r="I14" t="s">
        <v>58</v>
      </c>
    </row>
    <row r="15" spans="1:9" x14ac:dyDescent="0.35">
      <c r="A15" s="2">
        <v>45933</v>
      </c>
      <c r="B15" t="s">
        <v>9</v>
      </c>
      <c r="C15">
        <v>943098</v>
      </c>
      <c r="D15" t="s">
        <v>22</v>
      </c>
      <c r="E15">
        <v>30</v>
      </c>
      <c r="F15">
        <v>28</v>
      </c>
      <c r="G15">
        <v>2</v>
      </c>
      <c r="H15">
        <v>6.67</v>
      </c>
      <c r="I15" t="s">
        <v>58</v>
      </c>
    </row>
    <row r="16" spans="1:9" x14ac:dyDescent="0.35">
      <c r="A16" s="2">
        <v>45925</v>
      </c>
      <c r="B16" t="s">
        <v>10</v>
      </c>
      <c r="C16">
        <v>105439</v>
      </c>
      <c r="D16" t="s">
        <v>23</v>
      </c>
      <c r="E16">
        <v>7</v>
      </c>
      <c r="F16">
        <v>9</v>
      </c>
      <c r="G16">
        <v>2</v>
      </c>
      <c r="H16">
        <v>28.57</v>
      </c>
      <c r="I16" t="s">
        <v>56</v>
      </c>
    </row>
    <row r="17" spans="1:9" x14ac:dyDescent="0.35">
      <c r="A17" s="2">
        <v>45927</v>
      </c>
      <c r="B17" t="s">
        <v>10</v>
      </c>
      <c r="C17">
        <v>141321</v>
      </c>
      <c r="D17" t="s">
        <v>24</v>
      </c>
      <c r="E17">
        <v>12</v>
      </c>
      <c r="F17">
        <v>13</v>
      </c>
      <c r="G17">
        <v>1</v>
      </c>
      <c r="H17">
        <v>8.33</v>
      </c>
      <c r="I17" t="s">
        <v>56</v>
      </c>
    </row>
    <row r="18" spans="1:9" x14ac:dyDescent="0.35">
      <c r="A18" s="2">
        <v>45926</v>
      </c>
      <c r="B18" t="s">
        <v>9</v>
      </c>
      <c r="C18">
        <v>402497</v>
      </c>
      <c r="D18" t="s">
        <v>24</v>
      </c>
      <c r="E18">
        <v>14</v>
      </c>
      <c r="F18">
        <v>12</v>
      </c>
      <c r="G18">
        <v>2</v>
      </c>
      <c r="H18">
        <v>14.29</v>
      </c>
      <c r="I18" t="s">
        <v>55</v>
      </c>
    </row>
    <row r="19" spans="1:9" x14ac:dyDescent="0.35">
      <c r="A19" s="2">
        <v>45922</v>
      </c>
      <c r="B19" t="s">
        <v>10</v>
      </c>
      <c r="C19">
        <v>197487</v>
      </c>
      <c r="D19" t="s">
        <v>25</v>
      </c>
      <c r="E19">
        <v>12</v>
      </c>
      <c r="F19">
        <v>11</v>
      </c>
      <c r="G19">
        <v>1</v>
      </c>
      <c r="H19">
        <v>8.33</v>
      </c>
      <c r="I19" t="s">
        <v>57</v>
      </c>
    </row>
    <row r="20" spans="1:9" x14ac:dyDescent="0.35">
      <c r="A20" s="2">
        <v>45929</v>
      </c>
      <c r="B20" t="s">
        <v>9</v>
      </c>
      <c r="C20">
        <v>317680</v>
      </c>
      <c r="D20" t="s">
        <v>14</v>
      </c>
      <c r="E20">
        <v>17</v>
      </c>
      <c r="F20">
        <v>18</v>
      </c>
      <c r="G20">
        <v>1</v>
      </c>
      <c r="H20">
        <v>5.88</v>
      </c>
      <c r="I20" t="s">
        <v>56</v>
      </c>
    </row>
    <row r="21" spans="1:9" x14ac:dyDescent="0.35">
      <c r="A21" s="2">
        <v>45932</v>
      </c>
      <c r="B21" t="s">
        <v>10</v>
      </c>
      <c r="C21">
        <v>835607</v>
      </c>
      <c r="D21" t="s">
        <v>26</v>
      </c>
      <c r="E21">
        <v>26</v>
      </c>
      <c r="F21">
        <v>24</v>
      </c>
      <c r="G21">
        <v>2</v>
      </c>
      <c r="H21">
        <v>7.69</v>
      </c>
      <c r="I21" t="s">
        <v>56</v>
      </c>
    </row>
    <row r="22" spans="1:9" x14ac:dyDescent="0.35">
      <c r="A22" s="2">
        <v>45933</v>
      </c>
      <c r="B22" t="s">
        <v>10</v>
      </c>
      <c r="C22">
        <v>684908</v>
      </c>
      <c r="D22" t="s">
        <v>21</v>
      </c>
      <c r="E22">
        <v>25</v>
      </c>
      <c r="F22">
        <v>26</v>
      </c>
      <c r="G22">
        <v>1</v>
      </c>
      <c r="H22">
        <v>4</v>
      </c>
      <c r="I22" t="s">
        <v>54</v>
      </c>
    </row>
    <row r="23" spans="1:9" x14ac:dyDescent="0.35">
      <c r="A23" s="2">
        <v>45929</v>
      </c>
      <c r="B23" t="s">
        <v>9</v>
      </c>
      <c r="C23">
        <v>772186</v>
      </c>
      <c r="D23" t="s">
        <v>27</v>
      </c>
      <c r="E23">
        <v>10</v>
      </c>
      <c r="F23">
        <v>11</v>
      </c>
      <c r="G23">
        <v>1</v>
      </c>
      <c r="H23">
        <v>10</v>
      </c>
      <c r="I23" t="s">
        <v>56</v>
      </c>
    </row>
    <row r="24" spans="1:9" x14ac:dyDescent="0.35">
      <c r="A24" s="2">
        <v>45929</v>
      </c>
      <c r="B24" t="s">
        <v>9</v>
      </c>
      <c r="C24">
        <v>619574</v>
      </c>
      <c r="D24" t="s">
        <v>17</v>
      </c>
      <c r="E24">
        <v>28</v>
      </c>
      <c r="F24">
        <v>30</v>
      </c>
      <c r="G24">
        <v>2</v>
      </c>
      <c r="H24">
        <v>7.14</v>
      </c>
      <c r="I24" t="s">
        <v>57</v>
      </c>
    </row>
    <row r="25" spans="1:9" x14ac:dyDescent="0.35">
      <c r="A25" s="2">
        <v>45929</v>
      </c>
      <c r="B25" t="s">
        <v>10</v>
      </c>
      <c r="C25">
        <v>114222</v>
      </c>
      <c r="D25" t="s">
        <v>28</v>
      </c>
      <c r="E25">
        <v>20</v>
      </c>
      <c r="F25">
        <v>21</v>
      </c>
      <c r="G25">
        <v>1</v>
      </c>
      <c r="H25">
        <v>5</v>
      </c>
      <c r="I25" t="s">
        <v>57</v>
      </c>
    </row>
    <row r="26" spans="1:9" x14ac:dyDescent="0.35">
      <c r="A26" s="2">
        <v>45931</v>
      </c>
      <c r="B26" t="s">
        <v>10</v>
      </c>
      <c r="C26">
        <v>773245</v>
      </c>
      <c r="D26" t="s">
        <v>29</v>
      </c>
      <c r="E26">
        <v>14</v>
      </c>
      <c r="F26">
        <v>12</v>
      </c>
      <c r="G26">
        <v>2</v>
      </c>
      <c r="H26">
        <v>14.29</v>
      </c>
      <c r="I26" t="s">
        <v>58</v>
      </c>
    </row>
    <row r="27" spans="1:9" x14ac:dyDescent="0.35">
      <c r="A27" s="2">
        <v>45932</v>
      </c>
      <c r="B27" t="s">
        <v>9</v>
      </c>
      <c r="C27">
        <v>637042</v>
      </c>
      <c r="D27" t="s">
        <v>30</v>
      </c>
      <c r="E27">
        <v>9</v>
      </c>
      <c r="F27">
        <v>11</v>
      </c>
      <c r="G27">
        <v>2</v>
      </c>
      <c r="H27">
        <v>22.22</v>
      </c>
      <c r="I27" t="s">
        <v>56</v>
      </c>
    </row>
    <row r="28" spans="1:9" x14ac:dyDescent="0.35">
      <c r="A28" s="2">
        <v>45935</v>
      </c>
      <c r="B28" t="s">
        <v>9</v>
      </c>
      <c r="C28">
        <v>323577</v>
      </c>
      <c r="D28" t="s">
        <v>31</v>
      </c>
      <c r="E28">
        <v>10</v>
      </c>
      <c r="F28">
        <v>10</v>
      </c>
      <c r="G28">
        <v>0</v>
      </c>
      <c r="H28">
        <v>0</v>
      </c>
      <c r="I28" t="s">
        <v>57</v>
      </c>
    </row>
    <row r="29" spans="1:9" x14ac:dyDescent="0.35">
      <c r="A29" s="2">
        <v>45933</v>
      </c>
      <c r="B29" t="s">
        <v>9</v>
      </c>
      <c r="C29">
        <v>735998</v>
      </c>
      <c r="D29" t="s">
        <v>28</v>
      </c>
      <c r="E29">
        <v>24</v>
      </c>
      <c r="F29">
        <v>22</v>
      </c>
      <c r="G29">
        <v>2</v>
      </c>
      <c r="H29">
        <v>8.33</v>
      </c>
      <c r="I29" t="s">
        <v>57</v>
      </c>
    </row>
    <row r="30" spans="1:9" x14ac:dyDescent="0.35">
      <c r="A30" s="2">
        <v>45930</v>
      </c>
      <c r="B30" t="s">
        <v>10</v>
      </c>
      <c r="C30">
        <v>815201</v>
      </c>
      <c r="D30" t="s">
        <v>32</v>
      </c>
      <c r="E30">
        <v>7</v>
      </c>
      <c r="F30">
        <v>9</v>
      </c>
      <c r="G30">
        <v>2</v>
      </c>
      <c r="H30">
        <v>28.57</v>
      </c>
      <c r="I30" t="s">
        <v>58</v>
      </c>
    </row>
    <row r="31" spans="1:9" x14ac:dyDescent="0.35">
      <c r="A31" s="2">
        <v>45934</v>
      </c>
      <c r="B31" t="s">
        <v>10</v>
      </c>
      <c r="C31">
        <v>925902</v>
      </c>
      <c r="D31" t="s">
        <v>32</v>
      </c>
      <c r="E31">
        <v>19</v>
      </c>
      <c r="F31">
        <v>18</v>
      </c>
      <c r="G31">
        <v>1</v>
      </c>
      <c r="H31">
        <v>5.26</v>
      </c>
      <c r="I31" t="s">
        <v>55</v>
      </c>
    </row>
    <row r="32" spans="1:9" x14ac:dyDescent="0.35">
      <c r="A32" s="2">
        <v>45926</v>
      </c>
      <c r="B32" t="s">
        <v>10</v>
      </c>
      <c r="C32">
        <v>631675</v>
      </c>
      <c r="D32" t="s">
        <v>33</v>
      </c>
      <c r="E32">
        <v>23</v>
      </c>
      <c r="F32">
        <v>24</v>
      </c>
      <c r="G32">
        <v>1</v>
      </c>
      <c r="H32">
        <v>4.3499999999999996</v>
      </c>
      <c r="I32" t="s">
        <v>54</v>
      </c>
    </row>
    <row r="33" spans="1:9" x14ac:dyDescent="0.35">
      <c r="A33" s="2">
        <v>45931</v>
      </c>
      <c r="B33" t="s">
        <v>10</v>
      </c>
      <c r="C33">
        <v>129528</v>
      </c>
      <c r="D33" t="s">
        <v>34</v>
      </c>
      <c r="E33">
        <v>13</v>
      </c>
      <c r="F33">
        <v>12</v>
      </c>
      <c r="G33">
        <v>1</v>
      </c>
      <c r="H33">
        <v>7.69</v>
      </c>
      <c r="I33" t="s">
        <v>58</v>
      </c>
    </row>
    <row r="34" spans="1:9" x14ac:dyDescent="0.35">
      <c r="A34" s="2">
        <v>45926</v>
      </c>
      <c r="B34" t="s">
        <v>10</v>
      </c>
      <c r="C34">
        <v>400118</v>
      </c>
      <c r="D34" t="s">
        <v>30</v>
      </c>
      <c r="E34">
        <v>12</v>
      </c>
      <c r="F34">
        <v>10</v>
      </c>
      <c r="G34">
        <v>2</v>
      </c>
      <c r="H34">
        <v>16.670000000000002</v>
      </c>
      <c r="I34" t="s">
        <v>56</v>
      </c>
    </row>
    <row r="35" spans="1:9" x14ac:dyDescent="0.35">
      <c r="A35" s="2">
        <v>45927</v>
      </c>
      <c r="B35" t="s">
        <v>9</v>
      </c>
      <c r="C35">
        <v>661189</v>
      </c>
      <c r="D35" t="s">
        <v>30</v>
      </c>
      <c r="E35">
        <v>12</v>
      </c>
      <c r="F35">
        <v>14</v>
      </c>
      <c r="G35">
        <v>2</v>
      </c>
      <c r="H35">
        <v>16.670000000000002</v>
      </c>
      <c r="I35" t="s">
        <v>57</v>
      </c>
    </row>
    <row r="36" spans="1:9" x14ac:dyDescent="0.35">
      <c r="A36" s="2">
        <v>45922</v>
      </c>
      <c r="B36" t="s">
        <v>10</v>
      </c>
      <c r="C36">
        <v>196760</v>
      </c>
      <c r="D36" t="s">
        <v>35</v>
      </c>
      <c r="E36">
        <v>16</v>
      </c>
      <c r="F36">
        <v>18</v>
      </c>
      <c r="G36">
        <v>2</v>
      </c>
      <c r="H36">
        <v>12.5</v>
      </c>
      <c r="I36" t="s">
        <v>56</v>
      </c>
    </row>
    <row r="37" spans="1:9" x14ac:dyDescent="0.35">
      <c r="A37" s="2">
        <v>45932</v>
      </c>
      <c r="B37" t="s">
        <v>10</v>
      </c>
      <c r="C37">
        <v>608636</v>
      </c>
      <c r="D37" t="s">
        <v>34</v>
      </c>
      <c r="E37">
        <v>23</v>
      </c>
      <c r="F37">
        <v>22</v>
      </c>
      <c r="G37">
        <v>1</v>
      </c>
      <c r="H37">
        <v>4.3499999999999996</v>
      </c>
      <c r="I37" t="s">
        <v>58</v>
      </c>
    </row>
    <row r="38" spans="1:9" x14ac:dyDescent="0.35">
      <c r="A38" s="2">
        <v>45930</v>
      </c>
      <c r="B38" t="s">
        <v>9</v>
      </c>
      <c r="C38">
        <v>144344</v>
      </c>
      <c r="D38" t="s">
        <v>25</v>
      </c>
      <c r="E38">
        <v>27</v>
      </c>
      <c r="F38">
        <v>25</v>
      </c>
      <c r="G38">
        <v>2</v>
      </c>
      <c r="H38">
        <v>7.41</v>
      </c>
      <c r="I38" t="s">
        <v>56</v>
      </c>
    </row>
    <row r="39" spans="1:9" x14ac:dyDescent="0.35">
      <c r="A39" s="2">
        <v>45929</v>
      </c>
      <c r="B39" t="s">
        <v>9</v>
      </c>
      <c r="C39">
        <v>126208</v>
      </c>
      <c r="D39" t="s">
        <v>11</v>
      </c>
      <c r="E39">
        <v>14</v>
      </c>
      <c r="F39">
        <v>13</v>
      </c>
      <c r="G39">
        <v>1</v>
      </c>
      <c r="H39">
        <v>7.14</v>
      </c>
      <c r="I39" t="s">
        <v>55</v>
      </c>
    </row>
    <row r="40" spans="1:9" x14ac:dyDescent="0.35">
      <c r="A40" s="2">
        <v>45927</v>
      </c>
      <c r="B40" t="s">
        <v>10</v>
      </c>
      <c r="C40">
        <v>693090</v>
      </c>
      <c r="D40" t="s">
        <v>14</v>
      </c>
      <c r="E40">
        <v>6</v>
      </c>
      <c r="F40">
        <v>5</v>
      </c>
      <c r="G40">
        <v>1</v>
      </c>
      <c r="H40">
        <v>16.670000000000002</v>
      </c>
      <c r="I40" t="s">
        <v>56</v>
      </c>
    </row>
    <row r="41" spans="1:9" x14ac:dyDescent="0.35">
      <c r="A41" s="2">
        <v>45927</v>
      </c>
      <c r="B41" t="s">
        <v>10</v>
      </c>
      <c r="C41">
        <v>852381</v>
      </c>
      <c r="D41" t="s">
        <v>29</v>
      </c>
      <c r="E41">
        <v>10</v>
      </c>
      <c r="F41">
        <v>12</v>
      </c>
      <c r="G41">
        <v>2</v>
      </c>
      <c r="H41">
        <v>20</v>
      </c>
      <c r="I41" t="s">
        <v>58</v>
      </c>
    </row>
    <row r="42" spans="1:9" x14ac:dyDescent="0.35">
      <c r="A42" s="2">
        <v>45924</v>
      </c>
      <c r="B42" t="s">
        <v>10</v>
      </c>
      <c r="C42">
        <v>209582</v>
      </c>
      <c r="D42" t="s">
        <v>36</v>
      </c>
      <c r="E42">
        <v>29</v>
      </c>
      <c r="F42">
        <v>28</v>
      </c>
      <c r="G42">
        <v>1</v>
      </c>
      <c r="H42">
        <v>3.45</v>
      </c>
      <c r="I42" t="s">
        <v>54</v>
      </c>
    </row>
    <row r="43" spans="1:9" x14ac:dyDescent="0.35">
      <c r="A43" s="2">
        <v>45934</v>
      </c>
      <c r="B43" t="s">
        <v>9</v>
      </c>
      <c r="C43">
        <v>917908</v>
      </c>
      <c r="D43" t="s">
        <v>37</v>
      </c>
      <c r="E43">
        <v>5</v>
      </c>
      <c r="F43">
        <v>3</v>
      </c>
      <c r="G43">
        <v>2</v>
      </c>
      <c r="H43">
        <v>40</v>
      </c>
      <c r="I43" t="s">
        <v>58</v>
      </c>
    </row>
    <row r="44" spans="1:9" x14ac:dyDescent="0.35">
      <c r="A44" s="2">
        <v>45931</v>
      </c>
      <c r="B44" t="s">
        <v>9</v>
      </c>
      <c r="C44">
        <v>520792</v>
      </c>
      <c r="D44" t="s">
        <v>38</v>
      </c>
      <c r="E44">
        <v>5</v>
      </c>
      <c r="F44">
        <v>4</v>
      </c>
      <c r="G44">
        <v>1</v>
      </c>
      <c r="H44">
        <v>20</v>
      </c>
      <c r="I44" t="s">
        <v>56</v>
      </c>
    </row>
    <row r="45" spans="1:9" x14ac:dyDescent="0.35">
      <c r="A45" s="2">
        <v>45934</v>
      </c>
      <c r="B45" t="s">
        <v>10</v>
      </c>
      <c r="C45">
        <v>134854</v>
      </c>
      <c r="D45" t="s">
        <v>21</v>
      </c>
      <c r="E45">
        <v>30</v>
      </c>
      <c r="F45">
        <v>28</v>
      </c>
      <c r="G45">
        <v>2</v>
      </c>
      <c r="H45">
        <v>6.67</v>
      </c>
      <c r="I45" t="s">
        <v>54</v>
      </c>
    </row>
    <row r="46" spans="1:9" x14ac:dyDescent="0.35">
      <c r="A46" s="2">
        <v>45932</v>
      </c>
      <c r="B46" t="s">
        <v>10</v>
      </c>
      <c r="C46">
        <v>941214</v>
      </c>
      <c r="D46" t="s">
        <v>20</v>
      </c>
      <c r="E46">
        <v>13</v>
      </c>
      <c r="F46">
        <v>14</v>
      </c>
      <c r="G46">
        <v>1</v>
      </c>
      <c r="H46">
        <v>7.69</v>
      </c>
      <c r="I46" t="s">
        <v>57</v>
      </c>
    </row>
    <row r="47" spans="1:9" x14ac:dyDescent="0.35">
      <c r="A47" s="2">
        <v>45930</v>
      </c>
      <c r="B47" t="s">
        <v>9</v>
      </c>
      <c r="C47">
        <v>617630</v>
      </c>
      <c r="D47" t="s">
        <v>17</v>
      </c>
      <c r="E47">
        <v>9</v>
      </c>
      <c r="F47">
        <v>9</v>
      </c>
      <c r="G47">
        <v>0</v>
      </c>
      <c r="H47">
        <v>0</v>
      </c>
      <c r="I47" t="s">
        <v>54</v>
      </c>
    </row>
    <row r="48" spans="1:9" x14ac:dyDescent="0.35">
      <c r="A48" s="2">
        <v>45929</v>
      </c>
      <c r="B48" t="s">
        <v>10</v>
      </c>
      <c r="C48">
        <v>519664</v>
      </c>
      <c r="D48" t="s">
        <v>26</v>
      </c>
      <c r="E48">
        <v>26</v>
      </c>
      <c r="F48">
        <v>28</v>
      </c>
      <c r="G48">
        <v>2</v>
      </c>
      <c r="H48">
        <v>7.69</v>
      </c>
      <c r="I48" t="s">
        <v>56</v>
      </c>
    </row>
    <row r="49" spans="1:9" x14ac:dyDescent="0.35">
      <c r="A49" s="2">
        <v>45933</v>
      </c>
      <c r="B49" t="s">
        <v>10</v>
      </c>
      <c r="C49">
        <v>634991</v>
      </c>
      <c r="D49" t="s">
        <v>37</v>
      </c>
      <c r="E49">
        <v>17</v>
      </c>
      <c r="F49">
        <v>17</v>
      </c>
      <c r="G49">
        <v>0</v>
      </c>
      <c r="H49">
        <v>0</v>
      </c>
      <c r="I49" t="s">
        <v>57</v>
      </c>
    </row>
    <row r="50" spans="1:9" x14ac:dyDescent="0.35">
      <c r="A50" s="2">
        <v>45935</v>
      </c>
      <c r="B50" t="s">
        <v>9</v>
      </c>
      <c r="C50">
        <v>332550</v>
      </c>
      <c r="D50" t="s">
        <v>37</v>
      </c>
      <c r="E50">
        <v>21</v>
      </c>
      <c r="F50">
        <v>19</v>
      </c>
      <c r="G50">
        <v>2</v>
      </c>
      <c r="H50">
        <v>9.52</v>
      </c>
      <c r="I50" t="s">
        <v>54</v>
      </c>
    </row>
    <row r="51" spans="1:9" x14ac:dyDescent="0.35">
      <c r="A51" s="2">
        <v>45927</v>
      </c>
      <c r="B51" t="s">
        <v>9</v>
      </c>
      <c r="C51">
        <v>712545</v>
      </c>
      <c r="D51" t="s">
        <v>39</v>
      </c>
      <c r="E51">
        <v>7</v>
      </c>
      <c r="F51">
        <v>7</v>
      </c>
      <c r="G51">
        <v>0</v>
      </c>
      <c r="H51">
        <v>0</v>
      </c>
      <c r="I51" t="s">
        <v>55</v>
      </c>
    </row>
    <row r="52" spans="1:9" x14ac:dyDescent="0.35">
      <c r="A52" s="2">
        <v>45927</v>
      </c>
      <c r="B52" t="s">
        <v>9</v>
      </c>
      <c r="C52">
        <v>523852</v>
      </c>
      <c r="D52" t="s">
        <v>40</v>
      </c>
      <c r="E52">
        <v>27</v>
      </c>
      <c r="F52">
        <v>25</v>
      </c>
      <c r="G52">
        <v>2</v>
      </c>
      <c r="H52">
        <v>7.41</v>
      </c>
      <c r="I52" t="s">
        <v>56</v>
      </c>
    </row>
    <row r="53" spans="1:9" x14ac:dyDescent="0.35">
      <c r="A53" s="2">
        <v>45925</v>
      </c>
      <c r="B53" t="s">
        <v>10</v>
      </c>
      <c r="C53">
        <v>982849</v>
      </c>
      <c r="D53" t="s">
        <v>41</v>
      </c>
      <c r="E53">
        <v>18</v>
      </c>
      <c r="F53">
        <v>17</v>
      </c>
      <c r="G53">
        <v>1</v>
      </c>
      <c r="H53">
        <v>5.56</v>
      </c>
      <c r="I53" t="s">
        <v>54</v>
      </c>
    </row>
    <row r="54" spans="1:9" x14ac:dyDescent="0.35">
      <c r="A54" s="2">
        <v>45925</v>
      </c>
      <c r="B54" t="s">
        <v>9</v>
      </c>
      <c r="C54">
        <v>417190</v>
      </c>
      <c r="D54" t="s">
        <v>42</v>
      </c>
      <c r="E54">
        <v>28</v>
      </c>
      <c r="F54">
        <v>26</v>
      </c>
      <c r="G54">
        <v>2</v>
      </c>
      <c r="H54">
        <v>7.14</v>
      </c>
      <c r="I54" t="s">
        <v>55</v>
      </c>
    </row>
    <row r="55" spans="1:9" x14ac:dyDescent="0.35">
      <c r="A55" s="2">
        <v>45932</v>
      </c>
      <c r="B55" t="s">
        <v>9</v>
      </c>
      <c r="C55">
        <v>698034</v>
      </c>
      <c r="D55" t="s">
        <v>35</v>
      </c>
      <c r="E55">
        <v>30</v>
      </c>
      <c r="F55">
        <v>32</v>
      </c>
      <c r="G55">
        <v>2</v>
      </c>
      <c r="H55">
        <v>6.67</v>
      </c>
      <c r="I55" t="s">
        <v>58</v>
      </c>
    </row>
    <row r="56" spans="1:9" x14ac:dyDescent="0.35">
      <c r="A56" s="2">
        <v>45932</v>
      </c>
      <c r="B56" t="s">
        <v>10</v>
      </c>
      <c r="C56">
        <v>290695</v>
      </c>
      <c r="D56" t="s">
        <v>27</v>
      </c>
      <c r="E56">
        <v>14</v>
      </c>
      <c r="F56">
        <v>14</v>
      </c>
      <c r="G56">
        <v>0</v>
      </c>
      <c r="H56">
        <v>0</v>
      </c>
      <c r="I56" t="s">
        <v>57</v>
      </c>
    </row>
    <row r="57" spans="1:9" x14ac:dyDescent="0.35">
      <c r="A57" s="2">
        <v>45934</v>
      </c>
      <c r="B57" t="s">
        <v>9</v>
      </c>
      <c r="C57">
        <v>636453</v>
      </c>
      <c r="D57" t="s">
        <v>43</v>
      </c>
      <c r="E57">
        <v>9</v>
      </c>
      <c r="F57">
        <v>11</v>
      </c>
      <c r="G57">
        <v>2</v>
      </c>
      <c r="H57">
        <v>22.22</v>
      </c>
      <c r="I57" t="s">
        <v>56</v>
      </c>
    </row>
    <row r="58" spans="1:9" x14ac:dyDescent="0.35">
      <c r="A58" s="2">
        <v>45932</v>
      </c>
      <c r="B58" t="s">
        <v>10</v>
      </c>
      <c r="C58">
        <v>349668</v>
      </c>
      <c r="D58" t="s">
        <v>34</v>
      </c>
      <c r="E58">
        <v>13</v>
      </c>
      <c r="F58">
        <v>12</v>
      </c>
      <c r="G58">
        <v>1</v>
      </c>
      <c r="H58">
        <v>7.69</v>
      </c>
      <c r="I58" t="s">
        <v>54</v>
      </c>
    </row>
    <row r="59" spans="1:9" x14ac:dyDescent="0.35">
      <c r="A59" s="2">
        <v>45924</v>
      </c>
      <c r="B59" t="s">
        <v>10</v>
      </c>
      <c r="C59">
        <v>694036</v>
      </c>
      <c r="D59" t="s">
        <v>22</v>
      </c>
      <c r="E59">
        <v>24</v>
      </c>
      <c r="F59">
        <v>23</v>
      </c>
      <c r="G59">
        <v>1</v>
      </c>
      <c r="H59">
        <v>4.17</v>
      </c>
      <c r="I59" t="s">
        <v>54</v>
      </c>
    </row>
    <row r="60" spans="1:9" x14ac:dyDescent="0.35">
      <c r="A60" s="2">
        <v>45922</v>
      </c>
      <c r="B60" t="s">
        <v>9</v>
      </c>
      <c r="C60">
        <v>922046</v>
      </c>
      <c r="D60" t="s">
        <v>24</v>
      </c>
      <c r="E60">
        <v>28</v>
      </c>
      <c r="F60">
        <v>30</v>
      </c>
      <c r="G60">
        <v>2</v>
      </c>
      <c r="H60">
        <v>7.14</v>
      </c>
      <c r="I60" t="s">
        <v>57</v>
      </c>
    </row>
    <row r="61" spans="1:9" x14ac:dyDescent="0.35">
      <c r="A61" s="2">
        <v>45932</v>
      </c>
      <c r="B61" t="s">
        <v>10</v>
      </c>
      <c r="C61">
        <v>699948</v>
      </c>
      <c r="D61" t="s">
        <v>38</v>
      </c>
      <c r="E61">
        <v>18</v>
      </c>
      <c r="F61">
        <v>17</v>
      </c>
      <c r="G61">
        <v>1</v>
      </c>
      <c r="H61">
        <v>5.56</v>
      </c>
      <c r="I61" t="s">
        <v>56</v>
      </c>
    </row>
    <row r="62" spans="1:9" x14ac:dyDescent="0.35">
      <c r="A62" s="2">
        <v>45931</v>
      </c>
      <c r="B62" t="s">
        <v>10</v>
      </c>
      <c r="C62">
        <v>226852</v>
      </c>
      <c r="D62" t="s">
        <v>15</v>
      </c>
      <c r="E62">
        <v>12</v>
      </c>
      <c r="F62">
        <v>11</v>
      </c>
      <c r="G62">
        <v>1</v>
      </c>
      <c r="H62">
        <v>8.33</v>
      </c>
      <c r="I62" t="s">
        <v>58</v>
      </c>
    </row>
    <row r="63" spans="1:9" x14ac:dyDescent="0.35">
      <c r="A63" s="2">
        <v>45930</v>
      </c>
      <c r="B63" t="s">
        <v>9</v>
      </c>
      <c r="C63">
        <v>537727</v>
      </c>
      <c r="D63" t="s">
        <v>44</v>
      </c>
      <c r="E63">
        <v>6</v>
      </c>
      <c r="F63">
        <v>5</v>
      </c>
      <c r="G63">
        <v>1</v>
      </c>
      <c r="H63">
        <v>16.670000000000002</v>
      </c>
      <c r="I63" t="s">
        <v>54</v>
      </c>
    </row>
    <row r="64" spans="1:9" x14ac:dyDescent="0.35">
      <c r="A64" s="2">
        <v>45928</v>
      </c>
      <c r="B64" t="s">
        <v>9</v>
      </c>
      <c r="C64">
        <v>348879</v>
      </c>
      <c r="D64" t="s">
        <v>35</v>
      </c>
      <c r="E64">
        <v>19</v>
      </c>
      <c r="F64">
        <v>17</v>
      </c>
      <c r="G64">
        <v>2</v>
      </c>
      <c r="H64">
        <v>10.53</v>
      </c>
      <c r="I64" t="s">
        <v>55</v>
      </c>
    </row>
    <row r="65" spans="1:9" x14ac:dyDescent="0.35">
      <c r="A65" s="2">
        <v>45927</v>
      </c>
      <c r="B65" t="s">
        <v>10</v>
      </c>
      <c r="C65">
        <v>364471</v>
      </c>
      <c r="D65" t="s">
        <v>34</v>
      </c>
      <c r="E65">
        <v>16</v>
      </c>
      <c r="F65">
        <v>18</v>
      </c>
      <c r="G65">
        <v>2</v>
      </c>
      <c r="H65">
        <v>12.5</v>
      </c>
      <c r="I65" t="s">
        <v>54</v>
      </c>
    </row>
    <row r="66" spans="1:9" x14ac:dyDescent="0.35">
      <c r="A66" s="2">
        <v>45926</v>
      </c>
      <c r="B66" t="s">
        <v>9</v>
      </c>
      <c r="C66">
        <v>524223</v>
      </c>
      <c r="D66" t="s">
        <v>43</v>
      </c>
      <c r="E66">
        <v>8</v>
      </c>
      <c r="F66">
        <v>6</v>
      </c>
      <c r="G66">
        <v>2</v>
      </c>
      <c r="H66">
        <v>25</v>
      </c>
      <c r="I66" t="s">
        <v>57</v>
      </c>
    </row>
    <row r="67" spans="1:9" x14ac:dyDescent="0.35">
      <c r="A67" s="2">
        <v>45923</v>
      </c>
      <c r="B67" t="s">
        <v>9</v>
      </c>
      <c r="C67">
        <v>960912</v>
      </c>
      <c r="D67" t="s">
        <v>45</v>
      </c>
      <c r="E67">
        <v>18</v>
      </c>
      <c r="F67">
        <v>19</v>
      </c>
      <c r="G67">
        <v>1</v>
      </c>
      <c r="H67">
        <v>5.56</v>
      </c>
      <c r="I67" t="s">
        <v>54</v>
      </c>
    </row>
    <row r="68" spans="1:9" x14ac:dyDescent="0.35">
      <c r="A68" s="2">
        <v>45928</v>
      </c>
      <c r="B68" t="s">
        <v>10</v>
      </c>
      <c r="C68">
        <v>264952</v>
      </c>
      <c r="D68" t="s">
        <v>17</v>
      </c>
      <c r="E68">
        <v>30</v>
      </c>
      <c r="F68">
        <v>28</v>
      </c>
      <c r="G68">
        <v>2</v>
      </c>
      <c r="H68">
        <v>6.67</v>
      </c>
      <c r="I68" t="s">
        <v>57</v>
      </c>
    </row>
    <row r="69" spans="1:9" x14ac:dyDescent="0.35">
      <c r="A69" s="2">
        <v>45925</v>
      </c>
      <c r="B69" t="s">
        <v>10</v>
      </c>
      <c r="C69">
        <v>336378</v>
      </c>
      <c r="D69" t="s">
        <v>39</v>
      </c>
      <c r="E69">
        <v>6</v>
      </c>
      <c r="F69">
        <v>6</v>
      </c>
      <c r="G69">
        <v>0</v>
      </c>
      <c r="H69">
        <v>0</v>
      </c>
      <c r="I69" t="s">
        <v>56</v>
      </c>
    </row>
    <row r="70" spans="1:9" x14ac:dyDescent="0.35">
      <c r="A70" s="2">
        <v>45926</v>
      </c>
      <c r="B70" t="s">
        <v>10</v>
      </c>
      <c r="C70">
        <v>911386</v>
      </c>
      <c r="D70" t="s">
        <v>46</v>
      </c>
      <c r="E70">
        <v>10</v>
      </c>
      <c r="F70">
        <v>8</v>
      </c>
      <c r="G70">
        <v>2</v>
      </c>
      <c r="H70">
        <v>20</v>
      </c>
      <c r="I70" t="s">
        <v>55</v>
      </c>
    </row>
    <row r="71" spans="1:9" x14ac:dyDescent="0.35">
      <c r="A71" s="2">
        <v>45930</v>
      </c>
      <c r="B71" t="s">
        <v>9</v>
      </c>
      <c r="C71">
        <v>329436</v>
      </c>
      <c r="D71" t="s">
        <v>16</v>
      </c>
      <c r="E71">
        <v>7</v>
      </c>
      <c r="F71">
        <v>9</v>
      </c>
      <c r="G71">
        <v>2</v>
      </c>
      <c r="H71">
        <v>28.57</v>
      </c>
      <c r="I71" t="s">
        <v>58</v>
      </c>
    </row>
    <row r="72" spans="1:9" x14ac:dyDescent="0.35">
      <c r="A72" s="2">
        <v>45928</v>
      </c>
      <c r="B72" t="s">
        <v>9</v>
      </c>
      <c r="C72">
        <v>947677</v>
      </c>
      <c r="D72" t="s">
        <v>12</v>
      </c>
      <c r="E72">
        <v>13</v>
      </c>
      <c r="F72">
        <v>14</v>
      </c>
      <c r="G72">
        <v>1</v>
      </c>
      <c r="H72">
        <v>7.69</v>
      </c>
      <c r="I72" t="s">
        <v>55</v>
      </c>
    </row>
    <row r="73" spans="1:9" x14ac:dyDescent="0.35">
      <c r="A73" s="2">
        <v>45923</v>
      </c>
      <c r="B73" t="s">
        <v>9</v>
      </c>
      <c r="C73">
        <v>757930</v>
      </c>
      <c r="D73" t="s">
        <v>47</v>
      </c>
      <c r="E73">
        <v>28</v>
      </c>
      <c r="F73">
        <v>28</v>
      </c>
      <c r="G73">
        <v>0</v>
      </c>
      <c r="H73">
        <v>0</v>
      </c>
      <c r="I73" t="s">
        <v>58</v>
      </c>
    </row>
    <row r="74" spans="1:9" x14ac:dyDescent="0.35">
      <c r="A74" s="2">
        <v>45925</v>
      </c>
      <c r="B74" t="s">
        <v>9</v>
      </c>
      <c r="C74">
        <v>386259</v>
      </c>
      <c r="D74" t="s">
        <v>21</v>
      </c>
      <c r="E74">
        <v>25</v>
      </c>
      <c r="F74">
        <v>25</v>
      </c>
      <c r="G74">
        <v>0</v>
      </c>
      <c r="H74">
        <v>0</v>
      </c>
      <c r="I74" t="s">
        <v>56</v>
      </c>
    </row>
    <row r="75" spans="1:9" x14ac:dyDescent="0.35">
      <c r="A75" s="2">
        <v>45930</v>
      </c>
      <c r="B75" t="s">
        <v>9</v>
      </c>
      <c r="C75">
        <v>268568</v>
      </c>
      <c r="D75" t="s">
        <v>48</v>
      </c>
      <c r="E75">
        <v>16</v>
      </c>
      <c r="F75">
        <v>16</v>
      </c>
      <c r="G75">
        <v>0</v>
      </c>
      <c r="H75">
        <v>0</v>
      </c>
      <c r="I75" t="s">
        <v>54</v>
      </c>
    </row>
    <row r="76" spans="1:9" x14ac:dyDescent="0.35">
      <c r="A76" s="2">
        <v>45924</v>
      </c>
      <c r="B76" t="s">
        <v>9</v>
      </c>
      <c r="C76">
        <v>606015</v>
      </c>
      <c r="D76" t="s">
        <v>22</v>
      </c>
      <c r="E76">
        <v>6</v>
      </c>
      <c r="F76">
        <v>4</v>
      </c>
      <c r="G76">
        <v>2</v>
      </c>
      <c r="H76">
        <v>33.33</v>
      </c>
      <c r="I76" t="s">
        <v>58</v>
      </c>
    </row>
    <row r="77" spans="1:9" x14ac:dyDescent="0.35">
      <c r="A77" s="2">
        <v>45931</v>
      </c>
      <c r="B77" t="s">
        <v>9</v>
      </c>
      <c r="C77">
        <v>825773</v>
      </c>
      <c r="D77" t="s">
        <v>41</v>
      </c>
      <c r="E77">
        <v>10</v>
      </c>
      <c r="F77">
        <v>9</v>
      </c>
      <c r="G77">
        <v>1</v>
      </c>
      <c r="H77">
        <v>10</v>
      </c>
      <c r="I77" t="s">
        <v>55</v>
      </c>
    </row>
    <row r="78" spans="1:9" x14ac:dyDescent="0.35">
      <c r="A78" s="2">
        <v>45931</v>
      </c>
      <c r="B78" t="s">
        <v>9</v>
      </c>
      <c r="C78">
        <v>696719</v>
      </c>
      <c r="D78" t="s">
        <v>18</v>
      </c>
      <c r="E78">
        <v>23</v>
      </c>
      <c r="F78">
        <v>25</v>
      </c>
      <c r="G78">
        <v>2</v>
      </c>
      <c r="H78">
        <v>8.6999999999999993</v>
      </c>
      <c r="I78" t="s">
        <v>54</v>
      </c>
    </row>
    <row r="79" spans="1:9" x14ac:dyDescent="0.35">
      <c r="A79" s="2">
        <v>45932</v>
      </c>
      <c r="B79" t="s">
        <v>9</v>
      </c>
      <c r="C79">
        <v>369311</v>
      </c>
      <c r="D79" t="s">
        <v>38</v>
      </c>
      <c r="E79">
        <v>5</v>
      </c>
      <c r="F79">
        <v>4</v>
      </c>
      <c r="G79">
        <v>1</v>
      </c>
      <c r="H79">
        <v>20</v>
      </c>
      <c r="I79" t="s">
        <v>58</v>
      </c>
    </row>
    <row r="80" spans="1:9" x14ac:dyDescent="0.35">
      <c r="A80" s="2">
        <v>45925</v>
      </c>
      <c r="B80" t="s">
        <v>10</v>
      </c>
      <c r="C80">
        <v>525759</v>
      </c>
      <c r="D80" t="s">
        <v>49</v>
      </c>
      <c r="E80">
        <v>16</v>
      </c>
      <c r="F80">
        <v>16</v>
      </c>
      <c r="G80">
        <v>0</v>
      </c>
      <c r="H80">
        <v>0</v>
      </c>
      <c r="I80" t="s">
        <v>58</v>
      </c>
    </row>
    <row r="81" spans="1:9" x14ac:dyDescent="0.35">
      <c r="A81" s="2">
        <v>45927</v>
      </c>
      <c r="B81" t="s">
        <v>9</v>
      </c>
      <c r="C81">
        <v>378546</v>
      </c>
      <c r="D81" t="s">
        <v>14</v>
      </c>
      <c r="E81">
        <v>11</v>
      </c>
      <c r="F81">
        <v>9</v>
      </c>
      <c r="G81">
        <v>2</v>
      </c>
      <c r="H81">
        <v>18.18</v>
      </c>
      <c r="I81" t="s">
        <v>58</v>
      </c>
    </row>
    <row r="82" spans="1:9" x14ac:dyDescent="0.35">
      <c r="A82" s="2">
        <v>45924</v>
      </c>
      <c r="B82" t="s">
        <v>9</v>
      </c>
      <c r="C82">
        <v>552025</v>
      </c>
      <c r="D82" t="s">
        <v>15</v>
      </c>
      <c r="E82">
        <v>20</v>
      </c>
      <c r="F82">
        <v>21</v>
      </c>
      <c r="G82">
        <v>1</v>
      </c>
      <c r="H82">
        <v>5</v>
      </c>
      <c r="I82" t="s">
        <v>58</v>
      </c>
    </row>
    <row r="83" spans="1:9" x14ac:dyDescent="0.35">
      <c r="A83" s="2">
        <v>45924</v>
      </c>
      <c r="B83" t="s">
        <v>10</v>
      </c>
      <c r="C83">
        <v>539907</v>
      </c>
      <c r="D83" t="s">
        <v>50</v>
      </c>
      <c r="E83">
        <v>16</v>
      </c>
      <c r="F83">
        <v>14</v>
      </c>
      <c r="G83">
        <v>2</v>
      </c>
      <c r="H83">
        <v>12.5</v>
      </c>
      <c r="I83" t="s">
        <v>58</v>
      </c>
    </row>
    <row r="84" spans="1:9" x14ac:dyDescent="0.35">
      <c r="A84" s="2">
        <v>45933</v>
      </c>
      <c r="B84" t="s">
        <v>10</v>
      </c>
      <c r="C84">
        <v>252938</v>
      </c>
      <c r="D84" t="s">
        <v>49</v>
      </c>
      <c r="E84">
        <v>28</v>
      </c>
      <c r="F84">
        <v>27</v>
      </c>
      <c r="G84">
        <v>1</v>
      </c>
      <c r="H84">
        <v>3.57</v>
      </c>
      <c r="I84" t="s">
        <v>58</v>
      </c>
    </row>
    <row r="85" spans="1:9" x14ac:dyDescent="0.35">
      <c r="A85" s="2">
        <v>45934</v>
      </c>
      <c r="B85" t="s">
        <v>10</v>
      </c>
      <c r="C85">
        <v>704912</v>
      </c>
      <c r="D85" t="s">
        <v>48</v>
      </c>
      <c r="E85">
        <v>15</v>
      </c>
      <c r="F85">
        <v>16</v>
      </c>
      <c r="G85">
        <v>1</v>
      </c>
      <c r="H85">
        <v>6.67</v>
      </c>
      <c r="I85" t="s">
        <v>54</v>
      </c>
    </row>
    <row r="86" spans="1:9" x14ac:dyDescent="0.35">
      <c r="A86" s="2">
        <v>45924</v>
      </c>
      <c r="B86" t="s">
        <v>10</v>
      </c>
      <c r="C86">
        <v>883379</v>
      </c>
      <c r="D86" t="s">
        <v>15</v>
      </c>
      <c r="E86">
        <v>16</v>
      </c>
      <c r="F86">
        <v>14</v>
      </c>
      <c r="G86">
        <v>2</v>
      </c>
      <c r="H86">
        <v>12.5</v>
      </c>
      <c r="I86" t="s">
        <v>54</v>
      </c>
    </row>
    <row r="87" spans="1:9" x14ac:dyDescent="0.35">
      <c r="A87" s="2">
        <v>45927</v>
      </c>
      <c r="B87" t="s">
        <v>9</v>
      </c>
      <c r="C87">
        <v>159842</v>
      </c>
      <c r="D87" t="s">
        <v>49</v>
      </c>
      <c r="E87">
        <v>27</v>
      </c>
      <c r="F87">
        <v>28</v>
      </c>
      <c r="G87">
        <v>1</v>
      </c>
      <c r="H87">
        <v>3.7</v>
      </c>
      <c r="I87" t="s">
        <v>55</v>
      </c>
    </row>
    <row r="88" spans="1:9" x14ac:dyDescent="0.35">
      <c r="A88" s="2">
        <v>45926</v>
      </c>
      <c r="B88" t="s">
        <v>9</v>
      </c>
      <c r="C88">
        <v>593451</v>
      </c>
      <c r="D88" t="s">
        <v>23</v>
      </c>
      <c r="E88">
        <v>6</v>
      </c>
      <c r="F88">
        <v>8</v>
      </c>
      <c r="G88">
        <v>2</v>
      </c>
      <c r="H88">
        <v>33.33</v>
      </c>
      <c r="I88" t="s">
        <v>54</v>
      </c>
    </row>
    <row r="89" spans="1:9" x14ac:dyDescent="0.35">
      <c r="A89" s="2">
        <v>45930</v>
      </c>
      <c r="B89" t="s">
        <v>10</v>
      </c>
      <c r="C89">
        <v>746273</v>
      </c>
      <c r="D89" t="s">
        <v>16</v>
      </c>
      <c r="E89">
        <v>18</v>
      </c>
      <c r="F89">
        <v>17</v>
      </c>
      <c r="G89">
        <v>1</v>
      </c>
      <c r="H89">
        <v>5.56</v>
      </c>
      <c r="I89" t="s">
        <v>54</v>
      </c>
    </row>
    <row r="90" spans="1:9" x14ac:dyDescent="0.35">
      <c r="A90" s="2">
        <v>45932</v>
      </c>
      <c r="B90" t="s">
        <v>10</v>
      </c>
      <c r="C90">
        <v>971745</v>
      </c>
      <c r="D90" t="s">
        <v>26</v>
      </c>
      <c r="E90">
        <v>18</v>
      </c>
      <c r="F90">
        <v>20</v>
      </c>
      <c r="G90">
        <v>2</v>
      </c>
      <c r="H90">
        <v>11.11</v>
      </c>
      <c r="I90" t="s">
        <v>54</v>
      </c>
    </row>
    <row r="91" spans="1:9" x14ac:dyDescent="0.35">
      <c r="A91" s="2">
        <v>45924</v>
      </c>
      <c r="B91" t="s">
        <v>10</v>
      </c>
      <c r="C91">
        <v>901899</v>
      </c>
      <c r="D91" t="s">
        <v>22</v>
      </c>
      <c r="E91">
        <v>10</v>
      </c>
      <c r="F91">
        <v>10</v>
      </c>
      <c r="G91">
        <v>0</v>
      </c>
      <c r="H91">
        <v>0</v>
      </c>
      <c r="I91" t="s">
        <v>57</v>
      </c>
    </row>
    <row r="92" spans="1:9" x14ac:dyDescent="0.35">
      <c r="A92" s="2">
        <v>45924</v>
      </c>
      <c r="B92" t="s">
        <v>10</v>
      </c>
      <c r="C92">
        <v>334045</v>
      </c>
      <c r="D92" t="s">
        <v>15</v>
      </c>
      <c r="E92">
        <v>20</v>
      </c>
      <c r="F92">
        <v>18</v>
      </c>
      <c r="G92">
        <v>2</v>
      </c>
      <c r="H92">
        <v>10</v>
      </c>
      <c r="I92" t="s">
        <v>54</v>
      </c>
    </row>
    <row r="93" spans="1:9" x14ac:dyDescent="0.35">
      <c r="A93" s="2">
        <v>45925</v>
      </c>
      <c r="B93" t="s">
        <v>10</v>
      </c>
      <c r="C93">
        <v>279401</v>
      </c>
      <c r="D93" t="s">
        <v>51</v>
      </c>
      <c r="E93">
        <v>13</v>
      </c>
      <c r="F93">
        <v>15</v>
      </c>
      <c r="G93">
        <v>2</v>
      </c>
      <c r="H93">
        <v>15.38</v>
      </c>
      <c r="I93" t="s">
        <v>58</v>
      </c>
    </row>
    <row r="94" spans="1:9" x14ac:dyDescent="0.35">
      <c r="A94" s="2">
        <v>45922</v>
      </c>
      <c r="B94" t="s">
        <v>10</v>
      </c>
      <c r="C94">
        <v>848532</v>
      </c>
      <c r="D94" t="s">
        <v>21</v>
      </c>
      <c r="E94">
        <v>17</v>
      </c>
      <c r="F94">
        <v>19</v>
      </c>
      <c r="G94">
        <v>2</v>
      </c>
      <c r="H94">
        <v>11.76</v>
      </c>
      <c r="I94" t="s">
        <v>56</v>
      </c>
    </row>
    <row r="95" spans="1:9" x14ac:dyDescent="0.35">
      <c r="A95" s="2">
        <v>45929</v>
      </c>
      <c r="B95" t="s">
        <v>10</v>
      </c>
      <c r="C95">
        <v>235199</v>
      </c>
      <c r="D95" t="s">
        <v>52</v>
      </c>
      <c r="E95">
        <v>11</v>
      </c>
      <c r="F95">
        <v>11</v>
      </c>
      <c r="G95">
        <v>0</v>
      </c>
      <c r="H95">
        <v>0</v>
      </c>
      <c r="I95" t="s">
        <v>58</v>
      </c>
    </row>
    <row r="96" spans="1:9" x14ac:dyDescent="0.35">
      <c r="A96" s="2">
        <v>45932</v>
      </c>
      <c r="B96" t="s">
        <v>10</v>
      </c>
      <c r="C96">
        <v>107409</v>
      </c>
      <c r="D96" t="s">
        <v>47</v>
      </c>
      <c r="E96">
        <v>24</v>
      </c>
      <c r="F96">
        <v>24</v>
      </c>
      <c r="G96">
        <v>0</v>
      </c>
      <c r="H96">
        <v>0</v>
      </c>
      <c r="I96" t="s">
        <v>54</v>
      </c>
    </row>
    <row r="97" spans="1:9" x14ac:dyDescent="0.35">
      <c r="A97" s="2">
        <v>45929</v>
      </c>
      <c r="B97" t="s">
        <v>10</v>
      </c>
      <c r="C97">
        <v>688492</v>
      </c>
      <c r="D97" t="s">
        <v>51</v>
      </c>
      <c r="E97">
        <v>29</v>
      </c>
      <c r="F97">
        <v>28</v>
      </c>
      <c r="G97">
        <v>1</v>
      </c>
      <c r="H97">
        <v>3.45</v>
      </c>
      <c r="I97" t="s">
        <v>54</v>
      </c>
    </row>
    <row r="98" spans="1:9" x14ac:dyDescent="0.35">
      <c r="A98" s="2">
        <v>45927</v>
      </c>
      <c r="B98" t="s">
        <v>9</v>
      </c>
      <c r="C98">
        <v>756323</v>
      </c>
      <c r="D98" t="s">
        <v>43</v>
      </c>
      <c r="E98">
        <v>23</v>
      </c>
      <c r="F98">
        <v>25</v>
      </c>
      <c r="G98">
        <v>2</v>
      </c>
      <c r="H98">
        <v>8.6999999999999993</v>
      </c>
      <c r="I98" t="s">
        <v>58</v>
      </c>
    </row>
    <row r="99" spans="1:9" x14ac:dyDescent="0.35">
      <c r="A99" s="2">
        <v>45927</v>
      </c>
      <c r="B99" t="s">
        <v>10</v>
      </c>
      <c r="C99">
        <v>936824</v>
      </c>
      <c r="D99" t="s">
        <v>53</v>
      </c>
      <c r="E99">
        <v>16</v>
      </c>
      <c r="F99">
        <v>15</v>
      </c>
      <c r="G99">
        <v>1</v>
      </c>
      <c r="H99">
        <v>6.25</v>
      </c>
      <c r="I99" t="s">
        <v>57</v>
      </c>
    </row>
    <row r="100" spans="1:9" x14ac:dyDescent="0.35">
      <c r="A100" s="2">
        <v>45929</v>
      </c>
      <c r="B100" t="s">
        <v>10</v>
      </c>
      <c r="C100">
        <v>685512</v>
      </c>
      <c r="D100" t="s">
        <v>11</v>
      </c>
      <c r="E100">
        <v>20</v>
      </c>
      <c r="F100">
        <v>22</v>
      </c>
      <c r="G100">
        <v>2</v>
      </c>
      <c r="H100">
        <v>10</v>
      </c>
      <c r="I100" t="s">
        <v>54</v>
      </c>
    </row>
    <row r="101" spans="1:9" x14ac:dyDescent="0.35">
      <c r="A101" s="2">
        <v>45933</v>
      </c>
      <c r="B101" t="s">
        <v>9</v>
      </c>
      <c r="C101">
        <v>100389</v>
      </c>
      <c r="D101" t="s">
        <v>11</v>
      </c>
      <c r="E101">
        <v>23</v>
      </c>
      <c r="F101">
        <v>22</v>
      </c>
      <c r="G101">
        <v>1</v>
      </c>
      <c r="H101">
        <v>4.3499999999999996</v>
      </c>
      <c r="I10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defaultRowHeight="14.5" x14ac:dyDescent="0.35"/>
  <cols>
    <col min="1" max="1" width="10.08984375" bestFit="1" customWidth="1"/>
    <col min="3" max="3" width="13.7265625" bestFit="1" customWidth="1"/>
    <col min="4" max="4" width="19" bestFit="1" customWidth="1"/>
    <col min="5" max="5" width="18.81640625" bestFit="1" customWidth="1"/>
    <col min="6" max="6" width="23.6328125" bestFit="1" customWidth="1"/>
  </cols>
  <sheetData>
    <row r="1" spans="1:8" x14ac:dyDescent="0.35">
      <c r="A1" s="1" t="s">
        <v>0</v>
      </c>
      <c r="B1" s="1" t="s">
        <v>2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 spans="1:8" x14ac:dyDescent="0.35">
      <c r="A2" s="2">
        <v>45931</v>
      </c>
      <c r="B2">
        <v>232763</v>
      </c>
      <c r="C2" t="s">
        <v>65</v>
      </c>
      <c r="D2" s="2">
        <v>45931.329861111109</v>
      </c>
      <c r="E2" s="2">
        <v>45931.492361111108</v>
      </c>
      <c r="F2">
        <v>3.9</v>
      </c>
      <c r="G2" t="s">
        <v>58</v>
      </c>
      <c r="H2" t="s">
        <v>115</v>
      </c>
    </row>
    <row r="3" spans="1:8" x14ac:dyDescent="0.35">
      <c r="A3" s="2">
        <v>45925</v>
      </c>
      <c r="B3">
        <v>716625</v>
      </c>
      <c r="C3" t="s">
        <v>66</v>
      </c>
      <c r="D3" s="2">
        <v>45925.337500000001</v>
      </c>
      <c r="E3" s="2">
        <v>45925.38958333333</v>
      </c>
      <c r="F3">
        <v>1.25</v>
      </c>
      <c r="G3" t="s">
        <v>57</v>
      </c>
      <c r="H3" t="s">
        <v>115</v>
      </c>
    </row>
    <row r="4" spans="1:8" x14ac:dyDescent="0.35">
      <c r="A4" s="2">
        <v>45925</v>
      </c>
      <c r="B4">
        <v>736011</v>
      </c>
      <c r="C4" t="s">
        <v>67</v>
      </c>
      <c r="D4" s="2">
        <v>45925.377083333333</v>
      </c>
      <c r="E4" s="2">
        <v>45925.440972222219</v>
      </c>
      <c r="F4">
        <v>1.53</v>
      </c>
      <c r="G4" t="s">
        <v>54</v>
      </c>
      <c r="H4" t="s">
        <v>116</v>
      </c>
    </row>
    <row r="5" spans="1:8" x14ac:dyDescent="0.35">
      <c r="A5" s="2">
        <v>45935</v>
      </c>
      <c r="B5">
        <v>153652</v>
      </c>
      <c r="C5" t="s">
        <v>68</v>
      </c>
      <c r="D5" s="2">
        <v>45935.261805555558</v>
      </c>
      <c r="E5" s="2">
        <v>45935.513888888891</v>
      </c>
      <c r="F5">
        <v>6.05</v>
      </c>
      <c r="G5" t="s">
        <v>55</v>
      </c>
      <c r="H5" t="s">
        <v>117</v>
      </c>
    </row>
    <row r="6" spans="1:8" x14ac:dyDescent="0.35">
      <c r="A6" s="2">
        <v>45934</v>
      </c>
      <c r="B6">
        <v>844576</v>
      </c>
      <c r="C6" t="s">
        <v>69</v>
      </c>
      <c r="D6" s="2">
        <v>45934.418749999997</v>
      </c>
      <c r="E6" s="2">
        <v>45934.695138888892</v>
      </c>
      <c r="F6">
        <v>6.63</v>
      </c>
      <c r="G6" t="s">
        <v>55</v>
      </c>
      <c r="H6" t="s">
        <v>117</v>
      </c>
    </row>
    <row r="7" spans="1:8" x14ac:dyDescent="0.35">
      <c r="A7" s="2">
        <v>45933</v>
      </c>
      <c r="B7">
        <v>176753</v>
      </c>
      <c r="C7" t="s">
        <v>70</v>
      </c>
      <c r="D7" s="2">
        <v>45933.45</v>
      </c>
      <c r="E7" s="2">
        <v>45933.734722222223</v>
      </c>
      <c r="F7">
        <v>6.83</v>
      </c>
      <c r="G7" t="s">
        <v>57</v>
      </c>
      <c r="H7" t="s">
        <v>117</v>
      </c>
    </row>
    <row r="8" spans="1:8" x14ac:dyDescent="0.35">
      <c r="A8" s="2">
        <v>45927</v>
      </c>
      <c r="B8">
        <v>647046</v>
      </c>
      <c r="C8" t="s">
        <v>71</v>
      </c>
      <c r="D8" s="2">
        <v>45927.459027777782</v>
      </c>
      <c r="E8" s="2">
        <v>45927.504166666673</v>
      </c>
      <c r="F8">
        <v>1.08</v>
      </c>
      <c r="G8" t="s">
        <v>54</v>
      </c>
      <c r="H8" t="s">
        <v>116</v>
      </c>
    </row>
    <row r="9" spans="1:8" x14ac:dyDescent="0.35">
      <c r="A9" s="2">
        <v>45933</v>
      </c>
      <c r="B9">
        <v>884602</v>
      </c>
      <c r="C9" t="s">
        <v>72</v>
      </c>
      <c r="D9" s="2">
        <v>45933.415972222218</v>
      </c>
      <c r="E9" s="2">
        <v>45933.51458333333</v>
      </c>
      <c r="F9">
        <v>2.37</v>
      </c>
      <c r="G9" t="s">
        <v>57</v>
      </c>
      <c r="H9" t="s">
        <v>116</v>
      </c>
    </row>
    <row r="10" spans="1:8" x14ac:dyDescent="0.35">
      <c r="A10" s="2">
        <v>45927</v>
      </c>
      <c r="B10">
        <v>575125</v>
      </c>
      <c r="C10" t="s">
        <v>73</v>
      </c>
      <c r="D10" s="2">
        <v>45927.418055555558</v>
      </c>
      <c r="E10" s="2">
        <v>45927.529166666667</v>
      </c>
      <c r="F10">
        <v>2.67</v>
      </c>
      <c r="G10" t="s">
        <v>56</v>
      </c>
      <c r="H10" t="s">
        <v>115</v>
      </c>
    </row>
    <row r="11" spans="1:8" x14ac:dyDescent="0.35">
      <c r="A11" s="2">
        <v>45930</v>
      </c>
      <c r="B11">
        <v>972765</v>
      </c>
      <c r="C11" t="s">
        <v>74</v>
      </c>
      <c r="D11" s="2">
        <v>45930.412499999999</v>
      </c>
      <c r="E11" s="2">
        <v>45930.584722222222</v>
      </c>
      <c r="F11">
        <v>4.13</v>
      </c>
      <c r="G11" t="s">
        <v>54</v>
      </c>
      <c r="H11" t="s">
        <v>116</v>
      </c>
    </row>
    <row r="12" spans="1:8" x14ac:dyDescent="0.35">
      <c r="A12" s="2">
        <v>45931</v>
      </c>
      <c r="B12">
        <v>570066</v>
      </c>
      <c r="C12" t="s">
        <v>75</v>
      </c>
      <c r="D12" s="2">
        <v>45931.46875</v>
      </c>
      <c r="E12" s="2">
        <v>45931.646527777782</v>
      </c>
      <c r="F12">
        <v>4.2699999999999996</v>
      </c>
      <c r="G12" t="s">
        <v>55</v>
      </c>
      <c r="H12" t="s">
        <v>115</v>
      </c>
    </row>
    <row r="13" spans="1:8" x14ac:dyDescent="0.35">
      <c r="A13" s="2">
        <v>45929</v>
      </c>
      <c r="B13">
        <v>762768</v>
      </c>
      <c r="C13" t="s">
        <v>76</v>
      </c>
      <c r="D13" s="2">
        <v>45929.493750000001</v>
      </c>
      <c r="E13" s="2">
        <v>45929.597916666673</v>
      </c>
      <c r="F13">
        <v>2.5</v>
      </c>
      <c r="G13" t="s">
        <v>55</v>
      </c>
      <c r="H13" t="s">
        <v>116</v>
      </c>
    </row>
    <row r="14" spans="1:8" x14ac:dyDescent="0.35">
      <c r="A14" s="2">
        <v>45933</v>
      </c>
      <c r="B14">
        <v>369723</v>
      </c>
      <c r="C14" t="s">
        <v>77</v>
      </c>
      <c r="D14" s="2">
        <v>45933.334722222222</v>
      </c>
      <c r="E14" s="2">
        <v>45933.622916666667</v>
      </c>
      <c r="F14">
        <v>6.92</v>
      </c>
      <c r="G14" t="s">
        <v>54</v>
      </c>
      <c r="H14" t="s">
        <v>117</v>
      </c>
    </row>
    <row r="15" spans="1:8" x14ac:dyDescent="0.35">
      <c r="A15" s="2">
        <v>45927</v>
      </c>
      <c r="B15">
        <v>334343</v>
      </c>
      <c r="C15" t="s">
        <v>78</v>
      </c>
      <c r="D15" s="2">
        <v>45927.443749999999</v>
      </c>
      <c r="E15" s="2">
        <v>45927.513888888891</v>
      </c>
      <c r="F15">
        <v>1.68</v>
      </c>
      <c r="G15" t="s">
        <v>56</v>
      </c>
      <c r="H15" t="s">
        <v>116</v>
      </c>
    </row>
    <row r="16" spans="1:8" x14ac:dyDescent="0.35">
      <c r="A16" s="2">
        <v>45925</v>
      </c>
      <c r="B16">
        <v>890797</v>
      </c>
      <c r="C16" t="s">
        <v>79</v>
      </c>
      <c r="D16" s="2">
        <v>45925.419444444437</v>
      </c>
      <c r="E16" s="2">
        <v>45925.522916666669</v>
      </c>
      <c r="F16">
        <v>2.48</v>
      </c>
      <c r="G16" t="s">
        <v>57</v>
      </c>
      <c r="H16" t="s">
        <v>116</v>
      </c>
    </row>
    <row r="17" spans="1:8" x14ac:dyDescent="0.35">
      <c r="A17" s="2">
        <v>45925</v>
      </c>
      <c r="B17">
        <v>949603</v>
      </c>
      <c r="C17" t="s">
        <v>80</v>
      </c>
      <c r="D17" s="2">
        <v>45925.496527777781</v>
      </c>
      <c r="E17" s="2">
        <v>45925.794444444437</v>
      </c>
      <c r="F17">
        <v>7.15</v>
      </c>
      <c r="G17" t="s">
        <v>58</v>
      </c>
      <c r="H17" t="s">
        <v>117</v>
      </c>
    </row>
    <row r="18" spans="1:8" x14ac:dyDescent="0.35">
      <c r="A18" s="2">
        <v>45924</v>
      </c>
      <c r="B18">
        <v>408377</v>
      </c>
      <c r="C18" t="s">
        <v>81</v>
      </c>
      <c r="D18" s="2">
        <v>45924.261805555558</v>
      </c>
      <c r="E18" s="2">
        <v>45924.44027777778</v>
      </c>
      <c r="F18">
        <v>4.28</v>
      </c>
      <c r="G18" t="s">
        <v>56</v>
      </c>
      <c r="H18" t="s">
        <v>115</v>
      </c>
    </row>
    <row r="19" spans="1:8" x14ac:dyDescent="0.35">
      <c r="A19" s="2">
        <v>45927</v>
      </c>
      <c r="B19">
        <v>534586</v>
      </c>
      <c r="C19" t="s">
        <v>82</v>
      </c>
      <c r="D19" s="2">
        <v>45927.34652777778</v>
      </c>
      <c r="E19" s="2">
        <v>45927.568055555559</v>
      </c>
      <c r="F19">
        <v>5.32</v>
      </c>
      <c r="G19" t="s">
        <v>56</v>
      </c>
      <c r="H19" t="s">
        <v>115</v>
      </c>
    </row>
    <row r="20" spans="1:8" x14ac:dyDescent="0.35">
      <c r="A20" s="2">
        <v>45922</v>
      </c>
      <c r="B20">
        <v>610133</v>
      </c>
      <c r="C20" t="s">
        <v>83</v>
      </c>
      <c r="D20" s="2">
        <v>45922.402083333327</v>
      </c>
      <c r="E20" s="2">
        <v>45922.554861111108</v>
      </c>
      <c r="F20">
        <v>3.67</v>
      </c>
      <c r="G20" t="s">
        <v>58</v>
      </c>
      <c r="H20" t="s">
        <v>115</v>
      </c>
    </row>
    <row r="21" spans="1:8" x14ac:dyDescent="0.35">
      <c r="A21" s="2">
        <v>45930</v>
      </c>
      <c r="B21">
        <v>631510</v>
      </c>
      <c r="C21" t="s">
        <v>84</v>
      </c>
      <c r="D21" s="2">
        <v>45930.26666666667</v>
      </c>
      <c r="E21" s="2">
        <v>45930.583333333343</v>
      </c>
      <c r="F21">
        <v>7.6</v>
      </c>
      <c r="G21" t="s">
        <v>56</v>
      </c>
      <c r="H21" t="s">
        <v>116</v>
      </c>
    </row>
    <row r="22" spans="1:8" x14ac:dyDescent="0.35">
      <c r="A22" s="2">
        <v>45923</v>
      </c>
      <c r="B22">
        <v>179850</v>
      </c>
      <c r="C22" t="s">
        <v>85</v>
      </c>
      <c r="D22" s="2">
        <v>45923.448611111111</v>
      </c>
      <c r="E22" s="2">
        <v>45923.643750000003</v>
      </c>
      <c r="F22">
        <v>4.68</v>
      </c>
      <c r="G22" t="s">
        <v>56</v>
      </c>
      <c r="H22" t="s">
        <v>115</v>
      </c>
    </row>
    <row r="23" spans="1:8" x14ac:dyDescent="0.35">
      <c r="A23" s="2">
        <v>45925</v>
      </c>
      <c r="B23">
        <v>116961</v>
      </c>
      <c r="C23" t="s">
        <v>86</v>
      </c>
      <c r="D23" s="2">
        <v>45925.308333333327</v>
      </c>
      <c r="E23" s="2">
        <v>45925.632638888892</v>
      </c>
      <c r="F23">
        <v>7.78</v>
      </c>
      <c r="G23" t="s">
        <v>57</v>
      </c>
      <c r="H23" t="s">
        <v>116</v>
      </c>
    </row>
    <row r="24" spans="1:8" x14ac:dyDescent="0.35">
      <c r="A24" s="2">
        <v>45935</v>
      </c>
      <c r="B24">
        <v>143612</v>
      </c>
      <c r="C24" t="s">
        <v>87</v>
      </c>
      <c r="D24" s="2">
        <v>45935.331944444442</v>
      </c>
      <c r="E24" s="2">
        <v>45935.638194444437</v>
      </c>
      <c r="F24">
        <v>7.35</v>
      </c>
      <c r="G24" t="s">
        <v>57</v>
      </c>
      <c r="H24" t="s">
        <v>115</v>
      </c>
    </row>
    <row r="25" spans="1:8" x14ac:dyDescent="0.35">
      <c r="A25" s="2">
        <v>45929</v>
      </c>
      <c r="B25">
        <v>745489</v>
      </c>
      <c r="C25" t="s">
        <v>88</v>
      </c>
      <c r="D25" s="2">
        <v>45929.270138888889</v>
      </c>
      <c r="E25" s="2">
        <v>45929.586111111108</v>
      </c>
      <c r="F25">
        <v>7.58</v>
      </c>
      <c r="G25" t="s">
        <v>58</v>
      </c>
      <c r="H25" t="s">
        <v>116</v>
      </c>
    </row>
    <row r="26" spans="1:8" x14ac:dyDescent="0.35">
      <c r="A26" s="2">
        <v>45931</v>
      </c>
      <c r="B26">
        <v>248637</v>
      </c>
      <c r="C26" t="s">
        <v>89</v>
      </c>
      <c r="D26" s="2">
        <v>45931.281944444447</v>
      </c>
      <c r="E26" s="2">
        <v>45931.45</v>
      </c>
      <c r="F26">
        <v>4.03</v>
      </c>
      <c r="G26" t="s">
        <v>57</v>
      </c>
      <c r="H26" t="s">
        <v>117</v>
      </c>
    </row>
    <row r="27" spans="1:8" x14ac:dyDescent="0.35">
      <c r="A27" s="2">
        <v>45928</v>
      </c>
      <c r="B27">
        <v>690447</v>
      </c>
      <c r="C27" t="s">
        <v>90</v>
      </c>
      <c r="D27" s="2">
        <v>45928.320833333331</v>
      </c>
      <c r="E27" s="2">
        <v>45928.518055555563</v>
      </c>
      <c r="F27">
        <v>4.7300000000000004</v>
      </c>
      <c r="G27" t="s">
        <v>56</v>
      </c>
      <c r="H27" t="s">
        <v>115</v>
      </c>
    </row>
    <row r="28" spans="1:8" x14ac:dyDescent="0.35">
      <c r="A28" s="2">
        <v>45922</v>
      </c>
      <c r="B28">
        <v>384478</v>
      </c>
      <c r="C28" t="s">
        <v>91</v>
      </c>
      <c r="D28" s="2">
        <v>45922.469444444447</v>
      </c>
      <c r="E28" s="2">
        <v>45922.640972222223</v>
      </c>
      <c r="F28">
        <v>4.12</v>
      </c>
      <c r="G28" t="s">
        <v>55</v>
      </c>
      <c r="H28" t="s">
        <v>117</v>
      </c>
    </row>
    <row r="29" spans="1:8" x14ac:dyDescent="0.35">
      <c r="A29" s="2">
        <v>45929</v>
      </c>
      <c r="B29">
        <v>445336</v>
      </c>
      <c r="C29" t="s">
        <v>92</v>
      </c>
      <c r="D29" s="2">
        <v>45929.36041666667</v>
      </c>
      <c r="E29" s="2">
        <v>45929.49722222222</v>
      </c>
      <c r="F29">
        <v>3.28</v>
      </c>
      <c r="G29" t="s">
        <v>58</v>
      </c>
      <c r="H29" t="s">
        <v>116</v>
      </c>
    </row>
    <row r="30" spans="1:8" x14ac:dyDescent="0.35">
      <c r="A30" s="2">
        <v>45933</v>
      </c>
      <c r="B30">
        <v>227283</v>
      </c>
      <c r="C30" t="s">
        <v>93</v>
      </c>
      <c r="D30" s="2">
        <v>45933.439583333333</v>
      </c>
      <c r="E30" s="2">
        <v>45933.481944444437</v>
      </c>
      <c r="F30">
        <v>1.02</v>
      </c>
      <c r="G30" t="s">
        <v>57</v>
      </c>
      <c r="H30" t="s">
        <v>117</v>
      </c>
    </row>
    <row r="31" spans="1:8" x14ac:dyDescent="0.35">
      <c r="A31" s="2">
        <v>45927</v>
      </c>
      <c r="B31">
        <v>880289</v>
      </c>
      <c r="C31" t="s">
        <v>94</v>
      </c>
      <c r="D31" s="2">
        <v>45927.493055555547</v>
      </c>
      <c r="E31" s="2">
        <v>45927.623611111107</v>
      </c>
      <c r="F31">
        <v>3.13</v>
      </c>
      <c r="G31" t="s">
        <v>54</v>
      </c>
      <c r="H31" t="s">
        <v>115</v>
      </c>
    </row>
    <row r="32" spans="1:8" x14ac:dyDescent="0.35">
      <c r="A32" s="2">
        <v>45926</v>
      </c>
      <c r="B32">
        <v>103537</v>
      </c>
      <c r="C32" t="s">
        <v>95</v>
      </c>
      <c r="D32" s="2">
        <v>45926.459027777782</v>
      </c>
      <c r="E32" s="2">
        <v>45926.716666666667</v>
      </c>
      <c r="F32">
        <v>6.18</v>
      </c>
      <c r="G32" t="s">
        <v>57</v>
      </c>
      <c r="H32" t="s">
        <v>115</v>
      </c>
    </row>
    <row r="33" spans="1:8" x14ac:dyDescent="0.35">
      <c r="A33" s="2">
        <v>45930</v>
      </c>
      <c r="B33">
        <v>451167</v>
      </c>
      <c r="C33" t="s">
        <v>96</v>
      </c>
      <c r="D33" s="2">
        <v>45930.497916666667</v>
      </c>
      <c r="E33" s="2">
        <v>45930.574999999997</v>
      </c>
      <c r="F33">
        <v>1.85</v>
      </c>
      <c r="G33" t="s">
        <v>56</v>
      </c>
      <c r="H33" t="s">
        <v>115</v>
      </c>
    </row>
    <row r="34" spans="1:8" x14ac:dyDescent="0.35">
      <c r="A34" s="2">
        <v>45923</v>
      </c>
      <c r="B34">
        <v>865681</v>
      </c>
      <c r="C34" t="s">
        <v>97</v>
      </c>
      <c r="D34" s="2">
        <v>45923.313194444447</v>
      </c>
      <c r="E34" s="2">
        <v>45923.556250000001</v>
      </c>
      <c r="F34">
        <v>5.83</v>
      </c>
      <c r="G34" t="s">
        <v>54</v>
      </c>
      <c r="H34" t="s">
        <v>115</v>
      </c>
    </row>
    <row r="35" spans="1:8" x14ac:dyDescent="0.35">
      <c r="A35" s="2">
        <v>45931</v>
      </c>
      <c r="B35">
        <v>546717</v>
      </c>
      <c r="C35" t="s">
        <v>98</v>
      </c>
      <c r="D35" s="2">
        <v>45931.288888888892</v>
      </c>
      <c r="E35" s="2">
        <v>45931.352777777778</v>
      </c>
      <c r="F35">
        <v>1.53</v>
      </c>
      <c r="G35" t="s">
        <v>55</v>
      </c>
      <c r="H35" t="s">
        <v>115</v>
      </c>
    </row>
    <row r="36" spans="1:8" x14ac:dyDescent="0.35">
      <c r="A36" s="2">
        <v>45924</v>
      </c>
      <c r="B36">
        <v>363652</v>
      </c>
      <c r="C36" t="s">
        <v>99</v>
      </c>
      <c r="D36" s="2">
        <v>45924.379861111112</v>
      </c>
      <c r="E36" s="2">
        <v>45924.540277777778</v>
      </c>
      <c r="F36">
        <v>3.85</v>
      </c>
      <c r="G36" t="s">
        <v>56</v>
      </c>
      <c r="H36" t="s">
        <v>116</v>
      </c>
    </row>
    <row r="37" spans="1:8" x14ac:dyDescent="0.35">
      <c r="A37" s="2">
        <v>45929</v>
      </c>
      <c r="B37">
        <v>416743</v>
      </c>
      <c r="C37" t="s">
        <v>100</v>
      </c>
      <c r="D37" s="2">
        <v>45929.324999999997</v>
      </c>
      <c r="E37" s="2">
        <v>45929.479861111111</v>
      </c>
      <c r="F37">
        <v>3.72</v>
      </c>
      <c r="G37" t="s">
        <v>57</v>
      </c>
      <c r="H37" t="s">
        <v>117</v>
      </c>
    </row>
    <row r="38" spans="1:8" x14ac:dyDescent="0.35">
      <c r="A38" s="2">
        <v>45923</v>
      </c>
      <c r="B38">
        <v>395477</v>
      </c>
      <c r="C38" t="s">
        <v>101</v>
      </c>
      <c r="D38" s="2">
        <v>45923.321527777778</v>
      </c>
      <c r="E38" s="2">
        <v>45923.520833333343</v>
      </c>
      <c r="F38">
        <v>4.78</v>
      </c>
      <c r="G38" t="s">
        <v>55</v>
      </c>
      <c r="H38" t="s">
        <v>117</v>
      </c>
    </row>
    <row r="39" spans="1:8" x14ac:dyDescent="0.35">
      <c r="A39" s="2">
        <v>45923</v>
      </c>
      <c r="B39">
        <v>616403</v>
      </c>
      <c r="C39" t="s">
        <v>102</v>
      </c>
      <c r="D39" s="2">
        <v>45923.370138888888</v>
      </c>
      <c r="E39" s="2">
        <v>45923.618750000001</v>
      </c>
      <c r="F39">
        <v>5.97</v>
      </c>
      <c r="G39" t="s">
        <v>56</v>
      </c>
      <c r="H39" t="s">
        <v>117</v>
      </c>
    </row>
    <row r="40" spans="1:8" x14ac:dyDescent="0.35">
      <c r="A40" s="2">
        <v>45932</v>
      </c>
      <c r="B40">
        <v>119854</v>
      </c>
      <c r="C40" t="s">
        <v>103</v>
      </c>
      <c r="D40" s="2">
        <v>45932.334722222222</v>
      </c>
      <c r="E40" s="2">
        <v>45932.435416666667</v>
      </c>
      <c r="F40">
        <v>2.42</v>
      </c>
      <c r="G40" t="s">
        <v>55</v>
      </c>
      <c r="H40" t="s">
        <v>116</v>
      </c>
    </row>
    <row r="41" spans="1:8" x14ac:dyDescent="0.35">
      <c r="A41" s="2">
        <v>45923</v>
      </c>
      <c r="B41">
        <v>206528</v>
      </c>
      <c r="C41" t="s">
        <v>104</v>
      </c>
      <c r="D41" s="2">
        <v>45923.254861111112</v>
      </c>
      <c r="E41" s="2">
        <v>45923.490277777782</v>
      </c>
      <c r="F41">
        <v>5.65</v>
      </c>
      <c r="G41" t="s">
        <v>54</v>
      </c>
      <c r="H41" t="s">
        <v>115</v>
      </c>
    </row>
    <row r="42" spans="1:8" x14ac:dyDescent="0.35">
      <c r="A42" s="2">
        <v>45928</v>
      </c>
      <c r="B42">
        <v>108672</v>
      </c>
      <c r="C42" t="s">
        <v>105</v>
      </c>
      <c r="D42" s="2">
        <v>45928.333333333343</v>
      </c>
      <c r="E42" s="2">
        <v>45928.553472222222</v>
      </c>
      <c r="F42">
        <v>5.28</v>
      </c>
      <c r="G42" t="s">
        <v>58</v>
      </c>
      <c r="H42" t="s">
        <v>117</v>
      </c>
    </row>
    <row r="43" spans="1:8" x14ac:dyDescent="0.35">
      <c r="A43" s="2">
        <v>45935</v>
      </c>
      <c r="B43">
        <v>628274</v>
      </c>
      <c r="C43" t="s">
        <v>106</v>
      </c>
      <c r="D43" s="2">
        <v>45935.393055555563</v>
      </c>
      <c r="E43" s="2">
        <v>45935.586805555547</v>
      </c>
      <c r="F43">
        <v>4.6500000000000004</v>
      </c>
      <c r="G43" t="s">
        <v>55</v>
      </c>
      <c r="H43" t="s">
        <v>117</v>
      </c>
    </row>
    <row r="44" spans="1:8" x14ac:dyDescent="0.35">
      <c r="A44" s="2">
        <v>45934</v>
      </c>
      <c r="B44">
        <v>832318</v>
      </c>
      <c r="C44" t="s">
        <v>107</v>
      </c>
      <c r="D44" s="2">
        <v>45934.466666666667</v>
      </c>
      <c r="E44" s="2">
        <v>45934.543749999997</v>
      </c>
      <c r="F44">
        <v>1.85</v>
      </c>
      <c r="G44" t="s">
        <v>54</v>
      </c>
      <c r="H44" t="s">
        <v>115</v>
      </c>
    </row>
    <row r="45" spans="1:8" x14ac:dyDescent="0.35">
      <c r="A45" s="2">
        <v>45935</v>
      </c>
      <c r="B45">
        <v>899583</v>
      </c>
      <c r="C45" t="s">
        <v>108</v>
      </c>
      <c r="D45" s="2">
        <v>45935.26458333333</v>
      </c>
      <c r="E45" s="2">
        <v>45935.53125</v>
      </c>
      <c r="F45">
        <v>6.4</v>
      </c>
      <c r="G45" t="s">
        <v>54</v>
      </c>
      <c r="H45" t="s">
        <v>115</v>
      </c>
    </row>
    <row r="46" spans="1:8" x14ac:dyDescent="0.35">
      <c r="A46" s="2">
        <v>45926</v>
      </c>
      <c r="B46">
        <v>866900</v>
      </c>
      <c r="C46" t="s">
        <v>109</v>
      </c>
      <c r="D46" s="2">
        <v>45926.324999999997</v>
      </c>
      <c r="E46" s="2">
        <v>45926.600694444453</v>
      </c>
      <c r="F46">
        <v>6.62</v>
      </c>
      <c r="G46" t="s">
        <v>58</v>
      </c>
      <c r="H46" t="s">
        <v>115</v>
      </c>
    </row>
    <row r="47" spans="1:8" x14ac:dyDescent="0.35">
      <c r="A47" s="2">
        <v>45935</v>
      </c>
      <c r="B47">
        <v>784478</v>
      </c>
      <c r="C47" t="s">
        <v>110</v>
      </c>
      <c r="D47" s="2">
        <v>45935.476388888892</v>
      </c>
      <c r="E47" s="2">
        <v>45935.552083333343</v>
      </c>
      <c r="F47">
        <v>1.82</v>
      </c>
      <c r="G47" t="s">
        <v>56</v>
      </c>
      <c r="H47" t="s">
        <v>115</v>
      </c>
    </row>
    <row r="48" spans="1:8" x14ac:dyDescent="0.35">
      <c r="A48" s="2">
        <v>45934</v>
      </c>
      <c r="B48">
        <v>383850</v>
      </c>
      <c r="C48" t="s">
        <v>111</v>
      </c>
      <c r="D48" s="2">
        <v>45934.378472222219</v>
      </c>
      <c r="E48" s="2">
        <v>45934.591666666667</v>
      </c>
      <c r="F48">
        <v>5.12</v>
      </c>
      <c r="G48" t="s">
        <v>57</v>
      </c>
      <c r="H48" t="s">
        <v>116</v>
      </c>
    </row>
    <row r="49" spans="1:8" x14ac:dyDescent="0.35">
      <c r="A49" s="2">
        <v>45928</v>
      </c>
      <c r="B49">
        <v>147808</v>
      </c>
      <c r="C49" t="s">
        <v>112</v>
      </c>
      <c r="D49" s="2">
        <v>45928.3</v>
      </c>
      <c r="E49" s="2">
        <v>45928.518750000003</v>
      </c>
      <c r="F49">
        <v>5.25</v>
      </c>
      <c r="G49" t="s">
        <v>56</v>
      </c>
      <c r="H49" t="s">
        <v>117</v>
      </c>
    </row>
    <row r="50" spans="1:8" x14ac:dyDescent="0.35">
      <c r="A50" s="2">
        <v>45922</v>
      </c>
      <c r="B50">
        <v>859304</v>
      </c>
      <c r="C50" t="s">
        <v>113</v>
      </c>
      <c r="D50" s="2">
        <v>45922.320138888892</v>
      </c>
      <c r="E50" s="2">
        <v>45922.612500000003</v>
      </c>
      <c r="F50">
        <v>7.02</v>
      </c>
      <c r="G50" t="s">
        <v>56</v>
      </c>
      <c r="H50" t="s">
        <v>117</v>
      </c>
    </row>
    <row r="51" spans="1:8" x14ac:dyDescent="0.35">
      <c r="A51" s="2">
        <v>45925</v>
      </c>
      <c r="B51">
        <v>687600</v>
      </c>
      <c r="C51" t="s">
        <v>114</v>
      </c>
      <c r="D51" s="2">
        <v>45925.374305555553</v>
      </c>
      <c r="E51" s="2">
        <v>45925.454861111109</v>
      </c>
      <c r="F51">
        <v>1.93</v>
      </c>
      <c r="G51" t="s">
        <v>58</v>
      </c>
      <c r="H5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4.5" x14ac:dyDescent="0.35"/>
  <cols>
    <col min="1" max="1" width="10.08984375" bestFit="1" customWidth="1"/>
    <col min="6" max="6" width="15.36328125" bestFit="1" customWidth="1"/>
    <col min="7" max="7" width="14.453125" bestFit="1" customWidth="1"/>
    <col min="8" max="8" width="16" bestFit="1" customWidth="1"/>
    <col min="9" max="9" width="13.36328125" bestFit="1" customWidth="1"/>
    <col min="10" max="10" width="17.54296875" bestFit="1" customWidth="1"/>
  </cols>
  <sheetData>
    <row r="1" spans="1:10" x14ac:dyDescent="0.35">
      <c r="A1" s="1" t="s">
        <v>0</v>
      </c>
      <c r="B1" s="1" t="s">
        <v>1</v>
      </c>
      <c r="C1" s="1" t="s">
        <v>118</v>
      </c>
      <c r="D1" s="1" t="s">
        <v>119</v>
      </c>
      <c r="E1" s="1" t="s">
        <v>2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64</v>
      </c>
    </row>
    <row r="2" spans="1:10" x14ac:dyDescent="0.35">
      <c r="A2" s="2">
        <v>45930</v>
      </c>
      <c r="B2" t="s">
        <v>9</v>
      </c>
      <c r="C2" t="s">
        <v>56</v>
      </c>
      <c r="D2" t="s">
        <v>124</v>
      </c>
      <c r="E2">
        <v>526259</v>
      </c>
      <c r="F2" s="2">
        <v>45930.396527777782</v>
      </c>
      <c r="G2" s="2">
        <v>45930.409722222219</v>
      </c>
      <c r="H2">
        <v>19</v>
      </c>
      <c r="J2" t="s">
        <v>155</v>
      </c>
    </row>
    <row r="3" spans="1:10" x14ac:dyDescent="0.35">
      <c r="A3" s="2">
        <v>45935</v>
      </c>
      <c r="B3" t="s">
        <v>9</v>
      </c>
      <c r="C3" t="s">
        <v>55</v>
      </c>
      <c r="D3" t="s">
        <v>125</v>
      </c>
      <c r="E3">
        <v>685265</v>
      </c>
      <c r="F3" s="2">
        <v>45935.470138888893</v>
      </c>
      <c r="G3" s="2">
        <v>45935.481944444437</v>
      </c>
      <c r="H3">
        <v>17</v>
      </c>
      <c r="I3" t="s">
        <v>154</v>
      </c>
      <c r="J3" t="s">
        <v>156</v>
      </c>
    </row>
    <row r="4" spans="1:10" x14ac:dyDescent="0.35">
      <c r="A4" s="2">
        <v>45926</v>
      </c>
      <c r="B4" t="s">
        <v>10</v>
      </c>
      <c r="C4" t="s">
        <v>56</v>
      </c>
      <c r="D4" t="s">
        <v>126</v>
      </c>
      <c r="E4">
        <v>704687</v>
      </c>
      <c r="F4" s="2">
        <v>45926.356944444437</v>
      </c>
      <c r="G4" s="2">
        <v>45926.362500000003</v>
      </c>
      <c r="H4">
        <v>8</v>
      </c>
      <c r="J4" t="s">
        <v>155</v>
      </c>
    </row>
    <row r="5" spans="1:10" x14ac:dyDescent="0.35">
      <c r="A5" s="2">
        <v>45931</v>
      </c>
      <c r="B5" t="s">
        <v>10</v>
      </c>
      <c r="C5" t="s">
        <v>58</v>
      </c>
      <c r="D5" t="s">
        <v>127</v>
      </c>
      <c r="E5">
        <v>550733</v>
      </c>
      <c r="F5" s="2">
        <v>45931.44027777778</v>
      </c>
      <c r="G5" s="2">
        <v>45931.457638888889</v>
      </c>
      <c r="H5">
        <v>25</v>
      </c>
      <c r="J5" t="s">
        <v>157</v>
      </c>
    </row>
    <row r="6" spans="1:10" x14ac:dyDescent="0.35">
      <c r="A6" s="2">
        <v>45934</v>
      </c>
      <c r="B6" t="s">
        <v>9</v>
      </c>
      <c r="C6" t="s">
        <v>54</v>
      </c>
      <c r="D6" t="s">
        <v>128</v>
      </c>
      <c r="E6">
        <v>370335</v>
      </c>
      <c r="F6" s="2">
        <v>45934.397916666669</v>
      </c>
      <c r="G6" s="2">
        <v>45934.412499999999</v>
      </c>
      <c r="H6">
        <v>21</v>
      </c>
      <c r="J6" t="s">
        <v>157</v>
      </c>
    </row>
    <row r="7" spans="1:10" x14ac:dyDescent="0.35">
      <c r="A7" s="2">
        <v>45935</v>
      </c>
      <c r="B7" t="s">
        <v>9</v>
      </c>
      <c r="C7" t="s">
        <v>57</v>
      </c>
      <c r="D7" t="s">
        <v>129</v>
      </c>
      <c r="E7">
        <v>251101</v>
      </c>
      <c r="F7" s="2">
        <v>45935.529166666667</v>
      </c>
      <c r="G7" s="2">
        <v>45935.536805555559</v>
      </c>
      <c r="H7">
        <v>11</v>
      </c>
      <c r="J7" t="s">
        <v>155</v>
      </c>
    </row>
    <row r="8" spans="1:10" x14ac:dyDescent="0.35">
      <c r="A8" s="2">
        <v>45933</v>
      </c>
      <c r="B8" t="s">
        <v>10</v>
      </c>
      <c r="C8" t="s">
        <v>55</v>
      </c>
      <c r="D8" t="s">
        <v>130</v>
      </c>
      <c r="E8">
        <v>784006</v>
      </c>
      <c r="F8" s="2">
        <v>45933.431944444441</v>
      </c>
      <c r="G8" s="2">
        <v>45933.447916666657</v>
      </c>
      <c r="H8">
        <v>23</v>
      </c>
      <c r="J8" t="s">
        <v>156</v>
      </c>
    </row>
    <row r="9" spans="1:10" x14ac:dyDescent="0.35">
      <c r="A9" s="2">
        <v>45923</v>
      </c>
      <c r="B9" t="s">
        <v>10</v>
      </c>
      <c r="C9" t="s">
        <v>57</v>
      </c>
      <c r="D9" t="s">
        <v>131</v>
      </c>
      <c r="E9">
        <v>897700</v>
      </c>
      <c r="F9" s="2">
        <v>45923.556944444441</v>
      </c>
      <c r="G9" s="2">
        <v>45923.563194444447</v>
      </c>
      <c r="H9">
        <v>9</v>
      </c>
      <c r="J9" t="s">
        <v>157</v>
      </c>
    </row>
    <row r="10" spans="1:10" x14ac:dyDescent="0.35">
      <c r="A10" s="2">
        <v>45927</v>
      </c>
      <c r="B10" t="s">
        <v>10</v>
      </c>
      <c r="C10" t="s">
        <v>56</v>
      </c>
      <c r="D10" t="s">
        <v>132</v>
      </c>
      <c r="E10">
        <v>427900</v>
      </c>
      <c r="F10" s="2">
        <v>45927.561805555553</v>
      </c>
      <c r="G10" s="2">
        <v>45927.573611111111</v>
      </c>
      <c r="H10">
        <v>17</v>
      </c>
      <c r="J10" t="s">
        <v>157</v>
      </c>
    </row>
    <row r="11" spans="1:10" x14ac:dyDescent="0.35">
      <c r="A11" s="2">
        <v>45933</v>
      </c>
      <c r="B11" t="s">
        <v>10</v>
      </c>
      <c r="C11" t="s">
        <v>55</v>
      </c>
      <c r="D11" t="s">
        <v>133</v>
      </c>
      <c r="E11">
        <v>559884</v>
      </c>
      <c r="F11" s="2">
        <v>45933.484027777777</v>
      </c>
      <c r="G11" s="2">
        <v>45933.499305555553</v>
      </c>
      <c r="H11">
        <v>22</v>
      </c>
      <c r="J11" t="s">
        <v>156</v>
      </c>
    </row>
    <row r="12" spans="1:10" x14ac:dyDescent="0.35">
      <c r="A12" s="2">
        <v>45927</v>
      </c>
      <c r="B12" t="s">
        <v>9</v>
      </c>
      <c r="C12" t="s">
        <v>56</v>
      </c>
      <c r="D12" t="s">
        <v>134</v>
      </c>
      <c r="E12">
        <v>454209</v>
      </c>
      <c r="F12" s="2">
        <v>45927.408333333333</v>
      </c>
      <c r="G12" s="2">
        <v>45927.420138888891</v>
      </c>
      <c r="H12">
        <v>17</v>
      </c>
      <c r="J12" t="s">
        <v>156</v>
      </c>
    </row>
    <row r="13" spans="1:10" x14ac:dyDescent="0.35">
      <c r="A13" s="2">
        <v>45930</v>
      </c>
      <c r="B13" t="s">
        <v>10</v>
      </c>
      <c r="C13" t="s">
        <v>56</v>
      </c>
      <c r="D13" t="s">
        <v>135</v>
      </c>
      <c r="E13">
        <v>124213</v>
      </c>
      <c r="F13" s="2">
        <v>45930.46597222222</v>
      </c>
      <c r="G13" s="2">
        <v>45930.479166666657</v>
      </c>
      <c r="H13">
        <v>19</v>
      </c>
      <c r="J13" t="s">
        <v>155</v>
      </c>
    </row>
    <row r="14" spans="1:10" x14ac:dyDescent="0.35">
      <c r="A14" s="2">
        <v>45927</v>
      </c>
      <c r="B14" t="s">
        <v>10</v>
      </c>
      <c r="C14" t="s">
        <v>57</v>
      </c>
      <c r="D14" t="s">
        <v>136</v>
      </c>
      <c r="E14">
        <v>452053</v>
      </c>
      <c r="F14" s="2">
        <v>45927.55</v>
      </c>
      <c r="G14" s="2">
        <v>45927.563888888893</v>
      </c>
      <c r="H14">
        <v>20</v>
      </c>
      <c r="I14" t="s">
        <v>154</v>
      </c>
      <c r="J14" t="s">
        <v>157</v>
      </c>
    </row>
    <row r="15" spans="1:10" x14ac:dyDescent="0.35">
      <c r="A15" s="2">
        <v>45927</v>
      </c>
      <c r="B15" t="s">
        <v>9</v>
      </c>
      <c r="C15" t="s">
        <v>56</v>
      </c>
      <c r="D15" t="s">
        <v>137</v>
      </c>
      <c r="E15">
        <v>599987</v>
      </c>
      <c r="F15" s="2">
        <v>45927.365972222222</v>
      </c>
      <c r="G15" s="2">
        <v>45927.373611111107</v>
      </c>
      <c r="H15">
        <v>11</v>
      </c>
      <c r="J15" t="s">
        <v>156</v>
      </c>
    </row>
    <row r="16" spans="1:10" x14ac:dyDescent="0.35">
      <c r="A16" s="2">
        <v>45925</v>
      </c>
      <c r="B16" t="s">
        <v>10</v>
      </c>
      <c r="C16" t="s">
        <v>56</v>
      </c>
      <c r="D16" t="s">
        <v>138</v>
      </c>
      <c r="E16">
        <v>461685</v>
      </c>
      <c r="F16" s="2">
        <v>45925.449305555558</v>
      </c>
      <c r="G16" s="2">
        <v>45925.459722222222</v>
      </c>
      <c r="H16">
        <v>15</v>
      </c>
      <c r="I16" t="s">
        <v>154</v>
      </c>
      <c r="J16" t="s">
        <v>157</v>
      </c>
    </row>
    <row r="17" spans="1:10" x14ac:dyDescent="0.35">
      <c r="A17" s="2">
        <v>45926</v>
      </c>
      <c r="B17" t="s">
        <v>10</v>
      </c>
      <c r="C17" t="s">
        <v>56</v>
      </c>
      <c r="D17" t="s">
        <v>139</v>
      </c>
      <c r="E17">
        <v>777263</v>
      </c>
      <c r="F17" s="2">
        <v>45926.365277777782</v>
      </c>
      <c r="G17" s="2">
        <v>45926.378472222219</v>
      </c>
      <c r="H17">
        <v>19</v>
      </c>
      <c r="J17" t="s">
        <v>157</v>
      </c>
    </row>
    <row r="18" spans="1:10" x14ac:dyDescent="0.35">
      <c r="A18" s="2">
        <v>45934</v>
      </c>
      <c r="B18" t="s">
        <v>10</v>
      </c>
      <c r="C18" t="s">
        <v>57</v>
      </c>
      <c r="D18" t="s">
        <v>140</v>
      </c>
      <c r="E18">
        <v>145303</v>
      </c>
      <c r="F18" s="2">
        <v>45934.386805555558</v>
      </c>
      <c r="G18" s="2">
        <v>45934.393055555563</v>
      </c>
      <c r="H18">
        <v>9</v>
      </c>
      <c r="J18" t="s">
        <v>156</v>
      </c>
    </row>
    <row r="19" spans="1:10" x14ac:dyDescent="0.35">
      <c r="A19" s="2">
        <v>45935</v>
      </c>
      <c r="B19" t="s">
        <v>9</v>
      </c>
      <c r="C19" t="s">
        <v>55</v>
      </c>
      <c r="D19" t="s">
        <v>141</v>
      </c>
      <c r="E19">
        <v>506500</v>
      </c>
      <c r="F19" s="2">
        <v>45935.350694444453</v>
      </c>
      <c r="G19" s="2">
        <v>45935.366666666669</v>
      </c>
      <c r="H19">
        <v>23</v>
      </c>
      <c r="I19" t="s">
        <v>154</v>
      </c>
      <c r="J19" t="s">
        <v>156</v>
      </c>
    </row>
    <row r="20" spans="1:10" x14ac:dyDescent="0.35">
      <c r="A20" s="2">
        <v>45930</v>
      </c>
      <c r="B20" t="s">
        <v>10</v>
      </c>
      <c r="C20" t="s">
        <v>58</v>
      </c>
      <c r="D20" t="s">
        <v>142</v>
      </c>
      <c r="E20">
        <v>990646</v>
      </c>
      <c r="F20" s="2">
        <v>45930.337500000001</v>
      </c>
      <c r="G20" s="2">
        <v>45930.347222222219</v>
      </c>
      <c r="H20">
        <v>14</v>
      </c>
      <c r="J20" t="s">
        <v>155</v>
      </c>
    </row>
    <row r="21" spans="1:10" x14ac:dyDescent="0.35">
      <c r="A21" s="2">
        <v>45932</v>
      </c>
      <c r="B21" t="s">
        <v>10</v>
      </c>
      <c r="C21" t="s">
        <v>58</v>
      </c>
      <c r="D21" t="s">
        <v>143</v>
      </c>
      <c r="E21">
        <v>274831</v>
      </c>
      <c r="F21" s="2">
        <v>45932.397222222222</v>
      </c>
      <c r="G21" s="2">
        <v>45932.413194444453</v>
      </c>
      <c r="H21">
        <v>23</v>
      </c>
      <c r="J21" t="s">
        <v>156</v>
      </c>
    </row>
    <row r="22" spans="1:10" x14ac:dyDescent="0.35">
      <c r="A22" s="2">
        <v>45930</v>
      </c>
      <c r="B22" t="s">
        <v>10</v>
      </c>
      <c r="C22" t="s">
        <v>55</v>
      </c>
      <c r="D22" t="s">
        <v>144</v>
      </c>
      <c r="E22">
        <v>596068</v>
      </c>
      <c r="F22" s="2">
        <v>45930.556944444441</v>
      </c>
      <c r="G22" s="2">
        <v>45930.565972222219</v>
      </c>
      <c r="H22">
        <v>13</v>
      </c>
      <c r="J22" t="s">
        <v>156</v>
      </c>
    </row>
    <row r="23" spans="1:10" x14ac:dyDescent="0.35">
      <c r="A23" s="2">
        <v>45929</v>
      </c>
      <c r="B23" t="s">
        <v>9</v>
      </c>
      <c r="C23" t="s">
        <v>54</v>
      </c>
      <c r="D23" t="s">
        <v>145</v>
      </c>
      <c r="E23">
        <v>639165</v>
      </c>
      <c r="F23" s="2">
        <v>45929.572916666657</v>
      </c>
      <c r="G23" s="2">
        <v>45929.579861111109</v>
      </c>
      <c r="H23">
        <v>10</v>
      </c>
      <c r="I23" t="s">
        <v>154</v>
      </c>
      <c r="J23" t="s">
        <v>155</v>
      </c>
    </row>
    <row r="24" spans="1:10" x14ac:dyDescent="0.35">
      <c r="A24" s="2">
        <v>45930</v>
      </c>
      <c r="B24" t="s">
        <v>10</v>
      </c>
      <c r="C24" t="s">
        <v>55</v>
      </c>
      <c r="D24" t="s">
        <v>146</v>
      </c>
      <c r="E24">
        <v>445021</v>
      </c>
      <c r="F24" s="2">
        <v>45930.379861111112</v>
      </c>
      <c r="G24" s="2">
        <v>45930.38958333333</v>
      </c>
      <c r="H24">
        <v>14</v>
      </c>
      <c r="I24" t="s">
        <v>154</v>
      </c>
      <c r="J24" t="s">
        <v>157</v>
      </c>
    </row>
    <row r="25" spans="1:10" x14ac:dyDescent="0.35">
      <c r="A25" s="2">
        <v>45930</v>
      </c>
      <c r="B25" t="s">
        <v>9</v>
      </c>
      <c r="C25" t="s">
        <v>55</v>
      </c>
      <c r="D25" t="s">
        <v>147</v>
      </c>
      <c r="E25">
        <v>868832</v>
      </c>
      <c r="F25" s="2">
        <v>45930.544444444437</v>
      </c>
      <c r="G25" s="2">
        <v>45930.551388888889</v>
      </c>
      <c r="H25">
        <v>10</v>
      </c>
      <c r="I25" t="s">
        <v>154</v>
      </c>
      <c r="J25" t="s">
        <v>157</v>
      </c>
    </row>
    <row r="26" spans="1:10" x14ac:dyDescent="0.35">
      <c r="A26" s="2">
        <v>45935</v>
      </c>
      <c r="B26" t="s">
        <v>9</v>
      </c>
      <c r="C26" t="s">
        <v>55</v>
      </c>
      <c r="D26" t="s">
        <v>148</v>
      </c>
      <c r="E26">
        <v>234946</v>
      </c>
      <c r="F26" s="2">
        <v>45935.347916666673</v>
      </c>
      <c r="G26" s="2">
        <v>45935.363888888889</v>
      </c>
      <c r="H26">
        <v>23</v>
      </c>
      <c r="J26" t="s">
        <v>156</v>
      </c>
    </row>
    <row r="27" spans="1:10" x14ac:dyDescent="0.35">
      <c r="A27" s="2">
        <v>45922</v>
      </c>
      <c r="B27" t="s">
        <v>10</v>
      </c>
      <c r="C27" t="s">
        <v>56</v>
      </c>
      <c r="D27" t="s">
        <v>149</v>
      </c>
      <c r="E27">
        <v>680324</v>
      </c>
      <c r="F27" s="2">
        <v>45922.463888888888</v>
      </c>
      <c r="G27" s="2">
        <v>45922.476388888892</v>
      </c>
      <c r="H27">
        <v>18</v>
      </c>
      <c r="J27" t="s">
        <v>157</v>
      </c>
    </row>
    <row r="28" spans="1:10" x14ac:dyDescent="0.35">
      <c r="A28" s="2">
        <v>45934</v>
      </c>
      <c r="B28" t="s">
        <v>10</v>
      </c>
      <c r="C28" t="s">
        <v>57</v>
      </c>
      <c r="D28" t="s">
        <v>150</v>
      </c>
      <c r="E28">
        <v>557171</v>
      </c>
      <c r="F28" s="2">
        <v>45934.572222222218</v>
      </c>
      <c r="G28" s="2">
        <v>45934.588888888888</v>
      </c>
      <c r="H28">
        <v>24</v>
      </c>
      <c r="I28" t="s">
        <v>154</v>
      </c>
      <c r="J28" t="s">
        <v>155</v>
      </c>
    </row>
    <row r="29" spans="1:10" x14ac:dyDescent="0.35">
      <c r="A29" s="2">
        <v>45926</v>
      </c>
      <c r="B29" t="s">
        <v>10</v>
      </c>
      <c r="C29" t="s">
        <v>54</v>
      </c>
      <c r="D29" t="s">
        <v>151</v>
      </c>
      <c r="E29">
        <v>353705</v>
      </c>
      <c r="F29" s="2">
        <v>45926.458333333343</v>
      </c>
      <c r="G29" s="2">
        <v>45926.470138888893</v>
      </c>
      <c r="H29">
        <v>17</v>
      </c>
      <c r="J29" t="s">
        <v>157</v>
      </c>
    </row>
    <row r="30" spans="1:10" x14ac:dyDescent="0.35">
      <c r="A30" s="2">
        <v>45932</v>
      </c>
      <c r="B30" t="s">
        <v>10</v>
      </c>
      <c r="C30" t="s">
        <v>58</v>
      </c>
      <c r="D30" t="s">
        <v>152</v>
      </c>
      <c r="E30">
        <v>314156</v>
      </c>
      <c r="F30" s="2">
        <v>45932.418055555558</v>
      </c>
      <c r="G30" s="2">
        <v>45932.429166666669</v>
      </c>
      <c r="H30">
        <v>16</v>
      </c>
      <c r="J30" t="s">
        <v>157</v>
      </c>
    </row>
    <row r="31" spans="1:10" x14ac:dyDescent="0.35">
      <c r="A31" s="2">
        <v>45927</v>
      </c>
      <c r="B31" t="s">
        <v>9</v>
      </c>
      <c r="C31" t="s">
        <v>54</v>
      </c>
      <c r="D31" t="s">
        <v>153</v>
      </c>
      <c r="E31">
        <v>592977</v>
      </c>
      <c r="F31" s="2">
        <v>45927.424305555563</v>
      </c>
      <c r="G31" s="2">
        <v>45927.43472222222</v>
      </c>
      <c r="H31">
        <v>15</v>
      </c>
      <c r="J31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defaultRowHeight="14.5" x14ac:dyDescent="0.35"/>
  <cols>
    <col min="1" max="1" width="10.08984375" bestFit="1" customWidth="1"/>
    <col min="3" max="3" width="13.7265625" bestFit="1" customWidth="1"/>
    <col min="4" max="4" width="15.26953125" bestFit="1" customWidth="1"/>
    <col min="5" max="5" width="24.7265625" bestFit="1" customWidth="1"/>
    <col min="6" max="6" width="24.90625" bestFit="1" customWidth="1"/>
    <col min="7" max="7" width="15.54296875" bestFit="1" customWidth="1"/>
  </cols>
  <sheetData>
    <row r="1" spans="1:7" x14ac:dyDescent="0.35">
      <c r="A1" s="1" t="s">
        <v>0</v>
      </c>
      <c r="B1" s="1" t="s">
        <v>2</v>
      </c>
      <c r="C1" s="1" t="s">
        <v>59</v>
      </c>
      <c r="D1" s="1" t="s">
        <v>158</v>
      </c>
      <c r="E1" s="1" t="s">
        <v>159</v>
      </c>
      <c r="F1" s="1" t="s">
        <v>160</v>
      </c>
      <c r="G1" s="1" t="s">
        <v>161</v>
      </c>
    </row>
    <row r="2" spans="1:7" x14ac:dyDescent="0.35">
      <c r="A2" s="2">
        <v>45924</v>
      </c>
      <c r="B2">
        <v>511244</v>
      </c>
      <c r="C2" t="s">
        <v>162</v>
      </c>
      <c r="D2" t="s">
        <v>182</v>
      </c>
      <c r="E2" t="s">
        <v>188</v>
      </c>
      <c r="F2" t="s">
        <v>192</v>
      </c>
      <c r="G2" s="2">
        <v>45925</v>
      </c>
    </row>
    <row r="3" spans="1:7" x14ac:dyDescent="0.35">
      <c r="A3" s="2">
        <v>45923</v>
      </c>
      <c r="B3">
        <v>732880</v>
      </c>
      <c r="C3" t="s">
        <v>163</v>
      </c>
      <c r="D3" t="s">
        <v>183</v>
      </c>
      <c r="E3" t="s">
        <v>189</v>
      </c>
      <c r="F3" t="s">
        <v>193</v>
      </c>
      <c r="G3" s="2">
        <v>45924</v>
      </c>
    </row>
    <row r="4" spans="1:7" x14ac:dyDescent="0.35">
      <c r="A4" s="2">
        <v>45931</v>
      </c>
      <c r="B4">
        <v>397523</v>
      </c>
      <c r="C4" t="s">
        <v>164</v>
      </c>
      <c r="D4" t="s">
        <v>184</v>
      </c>
      <c r="E4" t="s">
        <v>190</v>
      </c>
      <c r="F4" t="s">
        <v>194</v>
      </c>
      <c r="G4" s="2">
        <v>45934</v>
      </c>
    </row>
    <row r="5" spans="1:7" x14ac:dyDescent="0.35">
      <c r="A5" s="2">
        <v>45922</v>
      </c>
      <c r="B5">
        <v>303227</v>
      </c>
      <c r="C5" t="s">
        <v>165</v>
      </c>
      <c r="D5" t="s">
        <v>184</v>
      </c>
      <c r="E5" t="s">
        <v>191</v>
      </c>
      <c r="F5" t="s">
        <v>194</v>
      </c>
      <c r="G5" s="2">
        <v>45924</v>
      </c>
    </row>
    <row r="6" spans="1:7" x14ac:dyDescent="0.35">
      <c r="A6" s="2">
        <v>45923</v>
      </c>
      <c r="B6">
        <v>494598</v>
      </c>
      <c r="C6" t="s">
        <v>166</v>
      </c>
      <c r="D6" t="s">
        <v>182</v>
      </c>
      <c r="E6" t="s">
        <v>188</v>
      </c>
      <c r="F6" t="s">
        <v>193</v>
      </c>
      <c r="G6" s="2">
        <v>45926</v>
      </c>
    </row>
    <row r="7" spans="1:7" x14ac:dyDescent="0.35">
      <c r="A7" s="2">
        <v>45927</v>
      </c>
      <c r="B7">
        <v>899662</v>
      </c>
      <c r="C7" t="s">
        <v>167</v>
      </c>
      <c r="D7" t="s">
        <v>185</v>
      </c>
      <c r="E7" t="s">
        <v>189</v>
      </c>
      <c r="F7" t="s">
        <v>195</v>
      </c>
      <c r="G7" s="2">
        <v>45929</v>
      </c>
    </row>
    <row r="8" spans="1:7" x14ac:dyDescent="0.35">
      <c r="A8" s="2">
        <v>45922</v>
      </c>
      <c r="B8">
        <v>142421</v>
      </c>
      <c r="C8" t="s">
        <v>168</v>
      </c>
      <c r="D8" t="s">
        <v>186</v>
      </c>
      <c r="E8" t="s">
        <v>189</v>
      </c>
      <c r="F8" t="s">
        <v>194</v>
      </c>
      <c r="G8" s="2">
        <v>45923</v>
      </c>
    </row>
    <row r="9" spans="1:7" x14ac:dyDescent="0.35">
      <c r="A9" s="2">
        <v>45926</v>
      </c>
      <c r="B9">
        <v>424923</v>
      </c>
      <c r="C9" t="s">
        <v>169</v>
      </c>
      <c r="D9" t="s">
        <v>185</v>
      </c>
      <c r="E9" t="s">
        <v>188</v>
      </c>
      <c r="F9" t="s">
        <v>194</v>
      </c>
      <c r="G9" s="2">
        <v>45927</v>
      </c>
    </row>
    <row r="10" spans="1:7" x14ac:dyDescent="0.35">
      <c r="A10" s="2">
        <v>45923</v>
      </c>
      <c r="B10">
        <v>253231</v>
      </c>
      <c r="C10" t="s">
        <v>170</v>
      </c>
      <c r="D10" t="s">
        <v>187</v>
      </c>
      <c r="E10" t="s">
        <v>191</v>
      </c>
      <c r="F10" t="s">
        <v>194</v>
      </c>
      <c r="G10" s="2">
        <v>45924</v>
      </c>
    </row>
    <row r="11" spans="1:7" x14ac:dyDescent="0.35">
      <c r="A11" s="2">
        <v>45932</v>
      </c>
      <c r="B11">
        <v>812637</v>
      </c>
      <c r="C11" t="s">
        <v>171</v>
      </c>
      <c r="D11" t="s">
        <v>185</v>
      </c>
      <c r="E11" t="s">
        <v>188</v>
      </c>
      <c r="F11" t="s">
        <v>195</v>
      </c>
      <c r="G11" s="2">
        <v>45933</v>
      </c>
    </row>
    <row r="12" spans="1:7" x14ac:dyDescent="0.35">
      <c r="A12" s="2">
        <v>45927</v>
      </c>
      <c r="B12">
        <v>563741</v>
      </c>
      <c r="C12" t="s">
        <v>172</v>
      </c>
      <c r="D12" t="s">
        <v>187</v>
      </c>
      <c r="E12" t="s">
        <v>189</v>
      </c>
      <c r="F12" t="s">
        <v>193</v>
      </c>
      <c r="G12" s="2">
        <v>45930</v>
      </c>
    </row>
    <row r="13" spans="1:7" x14ac:dyDescent="0.35">
      <c r="A13" s="2">
        <v>45933</v>
      </c>
      <c r="B13">
        <v>826869</v>
      </c>
      <c r="C13" t="s">
        <v>173</v>
      </c>
      <c r="D13" t="s">
        <v>187</v>
      </c>
      <c r="E13" t="s">
        <v>191</v>
      </c>
      <c r="F13" t="s">
        <v>192</v>
      </c>
      <c r="G13" s="2">
        <v>45936</v>
      </c>
    </row>
    <row r="14" spans="1:7" x14ac:dyDescent="0.35">
      <c r="A14" s="2">
        <v>45930</v>
      </c>
      <c r="B14">
        <v>847871</v>
      </c>
      <c r="C14" t="s">
        <v>174</v>
      </c>
      <c r="D14" t="s">
        <v>182</v>
      </c>
      <c r="E14" t="s">
        <v>189</v>
      </c>
      <c r="F14" t="s">
        <v>194</v>
      </c>
      <c r="G14" s="2">
        <v>45931</v>
      </c>
    </row>
    <row r="15" spans="1:7" x14ac:dyDescent="0.35">
      <c r="A15" s="2">
        <v>45927</v>
      </c>
      <c r="B15">
        <v>248816</v>
      </c>
      <c r="C15" t="s">
        <v>175</v>
      </c>
      <c r="D15" t="s">
        <v>184</v>
      </c>
      <c r="E15" t="s">
        <v>190</v>
      </c>
      <c r="F15" t="s">
        <v>195</v>
      </c>
      <c r="G15" s="2">
        <v>45929</v>
      </c>
    </row>
    <row r="16" spans="1:7" x14ac:dyDescent="0.35">
      <c r="A16" s="2">
        <v>45933</v>
      </c>
      <c r="B16">
        <v>688249</v>
      </c>
      <c r="C16" t="s">
        <v>176</v>
      </c>
      <c r="D16" t="s">
        <v>184</v>
      </c>
      <c r="E16" t="s">
        <v>188</v>
      </c>
      <c r="F16" t="s">
        <v>194</v>
      </c>
      <c r="G16" s="2">
        <v>45936</v>
      </c>
    </row>
    <row r="17" spans="1:7" x14ac:dyDescent="0.35">
      <c r="A17" s="2">
        <v>45924</v>
      </c>
      <c r="B17">
        <v>406670</v>
      </c>
      <c r="C17" t="s">
        <v>177</v>
      </c>
      <c r="D17" t="s">
        <v>182</v>
      </c>
      <c r="E17" t="s">
        <v>191</v>
      </c>
      <c r="F17" t="s">
        <v>192</v>
      </c>
      <c r="G17" s="2">
        <v>45926</v>
      </c>
    </row>
    <row r="18" spans="1:7" x14ac:dyDescent="0.35">
      <c r="A18" s="2">
        <v>45935</v>
      </c>
      <c r="B18">
        <v>591922</v>
      </c>
      <c r="C18" t="s">
        <v>178</v>
      </c>
      <c r="D18" t="s">
        <v>186</v>
      </c>
      <c r="E18" t="s">
        <v>189</v>
      </c>
      <c r="F18" t="s">
        <v>195</v>
      </c>
      <c r="G18" s="2">
        <v>45938</v>
      </c>
    </row>
    <row r="19" spans="1:7" x14ac:dyDescent="0.35">
      <c r="A19" s="2">
        <v>45926</v>
      </c>
      <c r="B19">
        <v>190185</v>
      </c>
      <c r="C19" t="s">
        <v>179</v>
      </c>
      <c r="D19" t="s">
        <v>184</v>
      </c>
      <c r="E19" t="s">
        <v>190</v>
      </c>
      <c r="F19" t="s">
        <v>194</v>
      </c>
      <c r="G19" s="2">
        <v>45927</v>
      </c>
    </row>
    <row r="20" spans="1:7" x14ac:dyDescent="0.35">
      <c r="A20" s="2">
        <v>45922</v>
      </c>
      <c r="B20">
        <v>157638</v>
      </c>
      <c r="C20" t="s">
        <v>180</v>
      </c>
      <c r="D20" t="s">
        <v>183</v>
      </c>
      <c r="E20" t="s">
        <v>189</v>
      </c>
      <c r="F20" t="s">
        <v>194</v>
      </c>
      <c r="G20" s="2">
        <v>45923</v>
      </c>
    </row>
    <row r="21" spans="1:7" x14ac:dyDescent="0.35">
      <c r="A21" s="2">
        <v>45929</v>
      </c>
      <c r="B21">
        <v>734390</v>
      </c>
      <c r="C21" t="s">
        <v>181</v>
      </c>
      <c r="D21" t="s">
        <v>183</v>
      </c>
      <c r="E21" t="s">
        <v>190</v>
      </c>
      <c r="F21" t="s">
        <v>192</v>
      </c>
      <c r="G21" s="2">
        <v>45932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="117" workbookViewId="0">
      <selection activeCell="B4" sqref="B4"/>
    </sheetView>
  </sheetViews>
  <sheetFormatPr defaultRowHeight="14.5" x14ac:dyDescent="0.35"/>
  <cols>
    <col min="1" max="1" width="26.26953125" bestFit="1" customWidth="1"/>
    <col min="2" max="2" width="12.54296875" bestFit="1" customWidth="1"/>
  </cols>
  <sheetData>
    <row r="1" spans="1:2" x14ac:dyDescent="0.35">
      <c r="A1" t="s">
        <v>196</v>
      </c>
      <c r="B1" t="s">
        <v>197</v>
      </c>
    </row>
    <row r="2" spans="1:2" x14ac:dyDescent="0.35">
      <c r="A2" t="s">
        <v>198</v>
      </c>
      <c r="B2">
        <f>100-AVERAGE(Inventory_Accuracy!$H$2:$H$101)</f>
        <v>89.908799999999999</v>
      </c>
    </row>
    <row r="3" spans="1:2" x14ac:dyDescent="0.35">
      <c r="A3" t="s">
        <v>199</v>
      </c>
      <c r="B3">
        <f>AVERAGE(Inventory_Accuracy!$H$2:$H$101)</f>
        <v>10.091200000000001</v>
      </c>
    </row>
    <row r="4" spans="1:2" x14ac:dyDescent="0.35">
      <c r="A4" t="s">
        <v>200</v>
      </c>
      <c r="B4">
        <f>AVERAGE(Reconciliation_Time!$F$2:$F$51)</f>
        <v>4.3546000000000005</v>
      </c>
    </row>
    <row r="5" spans="1:2" x14ac:dyDescent="0.35">
      <c r="A5" t="s">
        <v>201</v>
      </c>
      <c r="B5">
        <f>AVERAGE(Picking_Time!$H$2:$H$31)</f>
        <v>16.733333333333334</v>
      </c>
    </row>
    <row r="6" spans="1:2" x14ac:dyDescent="0.35">
      <c r="A6" t="s">
        <v>202</v>
      </c>
      <c r="B6">
        <f>ROWS(Root_Cause_Log!$A$2:$A$21)</f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zoomScale="85" workbookViewId="0">
      <selection activeCell="E5" sqref="E5"/>
    </sheetView>
  </sheetViews>
  <sheetFormatPr defaultRowHeight="14.5" x14ac:dyDescent="0.35"/>
  <cols>
    <col min="1" max="1" width="11.81640625" style="3" customWidth="1"/>
    <col min="2" max="2" width="18.6328125" bestFit="1" customWidth="1"/>
    <col min="3" max="4" width="11.81640625" bestFit="1" customWidth="1"/>
    <col min="7" max="7" width="12.54296875" style="3" customWidth="1"/>
    <col min="8" max="8" width="14.90625" bestFit="1" customWidth="1"/>
    <col min="11" max="11" width="14.1796875" style="3" customWidth="1"/>
    <col min="12" max="12" width="11.81640625" bestFit="1" customWidth="1"/>
  </cols>
  <sheetData>
    <row r="1" spans="1:12" x14ac:dyDescent="0.35">
      <c r="A1" s="3" t="s">
        <v>0</v>
      </c>
      <c r="B1" t="s">
        <v>203</v>
      </c>
      <c r="C1" t="s">
        <v>204</v>
      </c>
      <c r="D1" t="s">
        <v>205</v>
      </c>
      <c r="E1" t="s">
        <v>206</v>
      </c>
      <c r="G1" s="3" t="s">
        <v>0</v>
      </c>
      <c r="H1" t="s">
        <v>207</v>
      </c>
      <c r="K1" s="3" t="s">
        <v>0</v>
      </c>
      <c r="L1" t="s">
        <v>208</v>
      </c>
    </row>
    <row r="2" spans="1:12" x14ac:dyDescent="0.35">
      <c r="A2" s="3">
        <v>45922</v>
      </c>
      <c r="B2">
        <f>AVERAGEIF(Inventory_Accuracy!$A$2:$A$101,A2,Inventory_Accuracy!$H$2:$H$101)</f>
        <v>9.9324999999999992</v>
      </c>
      <c r="C2">
        <f>AVERAGE(B2:B15)</f>
        <v>10.125026927437643</v>
      </c>
      <c r="D2">
        <f>C2+3*Sigma_Calc!B3</f>
        <v>21.914510592193658</v>
      </c>
      <c r="E2">
        <v>0</v>
      </c>
      <c r="G2" s="3">
        <v>45922</v>
      </c>
      <c r="H2">
        <f>AVERAGEIF(Reconciliation_Time!$A$2:$A$51,G2,Reconciliation_Time!$F$2:$F$51)</f>
        <v>4.9366666666666665</v>
      </c>
      <c r="K2" s="3">
        <v>45922</v>
      </c>
      <c r="L2">
        <f>AVERAGEIF(Picking_Time!$A$2:$A$31,K2,Picking_Time!$H$2:$H$31)</f>
        <v>18</v>
      </c>
    </row>
    <row r="3" spans="1:12" x14ac:dyDescent="0.35">
      <c r="A3" s="3">
        <v>45923</v>
      </c>
      <c r="B3">
        <f>AVERAGEIF(Inventory_Accuracy!$A$2:$A$101,A3,Inventory_Accuracy!$H$2:$H$101)</f>
        <v>2.78</v>
      </c>
      <c r="C3">
        <f t="shared" ref="C3:C15" si="0">$C$2</f>
        <v>10.125026927437643</v>
      </c>
      <c r="D3">
        <f t="shared" ref="D3:D15" si="1">$D$2</f>
        <v>21.914510592193658</v>
      </c>
      <c r="E3">
        <v>0</v>
      </c>
      <c r="G3" s="3">
        <v>45923</v>
      </c>
      <c r="H3">
        <f>AVERAGEIF(Reconciliation_Time!$A$2:$A$51,G3,Reconciliation_Time!$F$2:$F$51)</f>
        <v>5.3819999999999997</v>
      </c>
      <c r="K3" s="3">
        <v>45923</v>
      </c>
      <c r="L3">
        <f>AVERAGEIF(Picking_Time!$A$2:$A$31,K3,Picking_Time!$H$2:$H$31)</f>
        <v>9</v>
      </c>
    </row>
    <row r="4" spans="1:12" x14ac:dyDescent="0.35">
      <c r="A4" s="3">
        <v>45924</v>
      </c>
      <c r="B4">
        <f>AVERAGEIF(Inventory_Accuracy!$A$2:$A$101,A4,Inventory_Accuracy!$H$2:$H$101)</f>
        <v>10.846666666666668</v>
      </c>
      <c r="C4">
        <f t="shared" si="0"/>
        <v>10.125026927437643</v>
      </c>
      <c r="D4">
        <f t="shared" si="1"/>
        <v>21.914510592193658</v>
      </c>
      <c r="E4">
        <v>0</v>
      </c>
      <c r="G4" s="3">
        <v>45924</v>
      </c>
      <c r="H4">
        <f>AVERAGEIF(Reconciliation_Time!$A$2:$A$51,G4,Reconciliation_Time!$F$2:$F$51)</f>
        <v>4.0650000000000004</v>
      </c>
      <c r="K4" s="3">
        <v>45925</v>
      </c>
      <c r="L4">
        <f>AVERAGEIF(Picking_Time!$A$2:$A$31,K4,Picking_Time!$H$2:$H$31)</f>
        <v>15</v>
      </c>
    </row>
    <row r="5" spans="1:12" x14ac:dyDescent="0.35">
      <c r="A5" s="3">
        <v>45925</v>
      </c>
      <c r="B5">
        <f>AVERAGEIF(Inventory_Accuracy!$A$2:$A$101,A5,Inventory_Accuracy!$H$2:$H$101)</f>
        <v>8.4700000000000006</v>
      </c>
      <c r="C5">
        <f t="shared" si="0"/>
        <v>10.125026927437643</v>
      </c>
      <c r="D5">
        <f t="shared" si="1"/>
        <v>21.914510592193658</v>
      </c>
      <c r="E5">
        <v>0</v>
      </c>
      <c r="G5" s="3">
        <v>45925</v>
      </c>
      <c r="H5">
        <f>AVERAGEIF(Reconciliation_Time!$A$2:$A$51,G5,Reconciliation_Time!$F$2:$F$51)</f>
        <v>3.686666666666667</v>
      </c>
      <c r="K5" s="3">
        <v>45926</v>
      </c>
      <c r="L5">
        <f>AVERAGEIF(Picking_Time!$A$2:$A$31,K5,Picking_Time!$H$2:$H$31)</f>
        <v>14.666666666666666</v>
      </c>
    </row>
    <row r="6" spans="1:12" x14ac:dyDescent="0.35">
      <c r="A6" s="3">
        <v>45926</v>
      </c>
      <c r="B6">
        <f>AVERAGEIF(Inventory_Accuracy!$A$2:$A$101,A6,Inventory_Accuracy!$H$2:$H$101)</f>
        <v>18.275714285714283</v>
      </c>
      <c r="C6">
        <f t="shared" si="0"/>
        <v>10.125026927437643</v>
      </c>
      <c r="D6">
        <f t="shared" si="1"/>
        <v>21.914510592193658</v>
      </c>
      <c r="E6">
        <v>0</v>
      </c>
      <c r="G6" s="3">
        <v>45926</v>
      </c>
      <c r="H6">
        <f>AVERAGEIF(Reconciliation_Time!$A$2:$A$51,G6,Reconciliation_Time!$F$2:$F$51)</f>
        <v>6.4</v>
      </c>
      <c r="K6" s="3">
        <v>45927</v>
      </c>
      <c r="L6">
        <f>AVERAGEIF(Picking_Time!$A$2:$A$31,K6,Picking_Time!$H$2:$H$31)</f>
        <v>16</v>
      </c>
    </row>
    <row r="7" spans="1:12" x14ac:dyDescent="0.35">
      <c r="A7" s="3">
        <v>45927</v>
      </c>
      <c r="B7">
        <f>AVERAGEIF(Inventory_Accuracy!$A$2:$A$101,A7,Inventory_Accuracy!$H$2:$H$101)</f>
        <v>8.4578571428571419</v>
      </c>
      <c r="C7">
        <f t="shared" si="0"/>
        <v>10.125026927437643</v>
      </c>
      <c r="D7">
        <f t="shared" si="1"/>
        <v>21.914510592193658</v>
      </c>
      <c r="E7">
        <v>0</v>
      </c>
      <c r="G7" s="3">
        <v>45927</v>
      </c>
      <c r="H7">
        <f>AVERAGEIF(Reconciliation_Time!$A$2:$A$51,G7,Reconciliation_Time!$F$2:$F$51)</f>
        <v>2.7759999999999998</v>
      </c>
      <c r="K7" s="3">
        <v>45929</v>
      </c>
      <c r="L7">
        <f>AVERAGEIF(Picking_Time!$A$2:$A$31,K7,Picking_Time!$H$2:$H$31)</f>
        <v>10</v>
      </c>
    </row>
    <row r="8" spans="1:12" x14ac:dyDescent="0.35">
      <c r="A8" s="3">
        <v>45928</v>
      </c>
      <c r="B8">
        <f>AVERAGEIF(Inventory_Accuracy!$A$2:$A$101,A8,Inventory_Accuracy!$H$2:$H$101)</f>
        <v>8.2966666666666669</v>
      </c>
      <c r="C8">
        <f t="shared" si="0"/>
        <v>10.125026927437643</v>
      </c>
      <c r="D8">
        <f t="shared" si="1"/>
        <v>21.914510592193658</v>
      </c>
      <c r="E8">
        <v>0</v>
      </c>
      <c r="G8" s="3">
        <v>45928</v>
      </c>
      <c r="H8">
        <f>AVERAGEIF(Reconciliation_Time!$A$2:$A$51,G8,Reconciliation_Time!$F$2:$F$51)</f>
        <v>5.0866666666666669</v>
      </c>
      <c r="K8" s="3">
        <v>45930</v>
      </c>
      <c r="L8">
        <f>AVERAGEIF(Picking_Time!$A$2:$A$31,K8,Picking_Time!$H$2:$H$31)</f>
        <v>14.833333333333334</v>
      </c>
    </row>
    <row r="9" spans="1:12" x14ac:dyDescent="0.35">
      <c r="A9" s="3">
        <v>45929</v>
      </c>
      <c r="B9">
        <f>AVERAGEIF(Inventory_Accuracy!$A$2:$A$101,A9,Inventory_Accuracy!$H$2:$H$101)</f>
        <v>6.2555555555555555</v>
      </c>
      <c r="C9">
        <f t="shared" si="0"/>
        <v>10.125026927437643</v>
      </c>
      <c r="D9">
        <f t="shared" si="1"/>
        <v>21.914510592193658</v>
      </c>
      <c r="E9">
        <v>0</v>
      </c>
      <c r="G9" s="3">
        <v>45929</v>
      </c>
      <c r="H9">
        <f>AVERAGEIF(Reconciliation_Time!$A$2:$A$51,G9,Reconciliation_Time!$F$2:$F$51)</f>
        <v>4.2699999999999996</v>
      </c>
      <c r="K9" s="3">
        <v>45931</v>
      </c>
      <c r="L9">
        <f>AVERAGEIF(Picking_Time!$A$2:$A$31,K9,Picking_Time!$H$2:$H$31)</f>
        <v>25</v>
      </c>
    </row>
    <row r="10" spans="1:12" x14ac:dyDescent="0.35">
      <c r="A10" s="3">
        <v>45930</v>
      </c>
      <c r="B10">
        <f>AVERAGEIF(Inventory_Accuracy!$A$2:$A$101,A10,Inventory_Accuracy!$H$2:$H$101)</f>
        <v>11.80875</v>
      </c>
      <c r="C10">
        <f t="shared" si="0"/>
        <v>10.125026927437643</v>
      </c>
      <c r="D10">
        <f t="shared" si="1"/>
        <v>21.914510592193658</v>
      </c>
      <c r="E10">
        <v>0</v>
      </c>
      <c r="G10" s="3">
        <v>45930</v>
      </c>
      <c r="H10">
        <f>AVERAGEIF(Reconciliation_Time!$A$2:$A$51,G10,Reconciliation_Time!$F$2:$F$51)</f>
        <v>4.5266666666666664</v>
      </c>
      <c r="K10" s="3">
        <v>45932</v>
      </c>
      <c r="L10">
        <f>AVERAGEIF(Picking_Time!$A$2:$A$31,K10,Picking_Time!$H$2:$H$31)</f>
        <v>19.5</v>
      </c>
    </row>
    <row r="11" spans="1:12" x14ac:dyDescent="0.35">
      <c r="A11" s="3">
        <v>45931</v>
      </c>
      <c r="B11">
        <f>AVERAGEIF(Inventory_Accuracy!$A$2:$A$101,A11,Inventory_Accuracy!$H$2:$H$101)</f>
        <v>11.501666666666667</v>
      </c>
      <c r="C11">
        <f t="shared" si="0"/>
        <v>10.125026927437643</v>
      </c>
      <c r="D11">
        <f t="shared" si="1"/>
        <v>21.914510592193658</v>
      </c>
      <c r="E11">
        <v>0</v>
      </c>
      <c r="G11" s="3">
        <v>45931</v>
      </c>
      <c r="H11">
        <f>AVERAGEIF(Reconciliation_Time!$A$2:$A$51,G11,Reconciliation_Time!$F$2:$F$51)</f>
        <v>3.4324999999999997</v>
      </c>
      <c r="K11" s="3">
        <v>45933</v>
      </c>
      <c r="L11">
        <f>AVERAGEIF(Picking_Time!$A$2:$A$31,K11,Picking_Time!$H$2:$H$31)</f>
        <v>22.5</v>
      </c>
    </row>
    <row r="12" spans="1:12" x14ac:dyDescent="0.35">
      <c r="A12" s="3">
        <v>45932</v>
      </c>
      <c r="B12">
        <f>AVERAGEIF(Inventory_Accuracy!$A$2:$A$101,A12,Inventory_Accuracy!$H$2:$H$101)</f>
        <v>7.748333333333334</v>
      </c>
      <c r="C12">
        <f t="shared" si="0"/>
        <v>10.125026927437643</v>
      </c>
      <c r="D12">
        <f t="shared" si="1"/>
        <v>21.914510592193658</v>
      </c>
      <c r="E12">
        <v>0</v>
      </c>
      <c r="G12" s="3">
        <v>45932</v>
      </c>
      <c r="H12">
        <f>AVERAGEIF(Reconciliation_Time!$A$2:$A$51,G12,Reconciliation_Time!$F$2:$F$51)</f>
        <v>2.42</v>
      </c>
      <c r="K12" s="3">
        <v>45934</v>
      </c>
      <c r="L12">
        <f>AVERAGEIF(Picking_Time!$A$2:$A$31,K12,Picking_Time!$H$2:$H$31)</f>
        <v>18</v>
      </c>
    </row>
    <row r="13" spans="1:12" x14ac:dyDescent="0.35">
      <c r="A13" s="3">
        <v>45933</v>
      </c>
      <c r="B13">
        <f>AVERAGEIF(Inventory_Accuracy!$A$2:$A$101,A13,Inventory_Accuracy!$H$2:$H$101)</f>
        <v>8.3125</v>
      </c>
      <c r="C13">
        <f t="shared" si="0"/>
        <v>10.125026927437643</v>
      </c>
      <c r="D13">
        <f t="shared" si="1"/>
        <v>21.914510592193658</v>
      </c>
      <c r="E13">
        <v>0</v>
      </c>
      <c r="G13" s="3">
        <v>45933</v>
      </c>
      <c r="H13">
        <f>AVERAGEIF(Reconciliation_Time!$A$2:$A$51,G13,Reconciliation_Time!$F$2:$F$51)</f>
        <v>4.2849999999999993</v>
      </c>
      <c r="K13" s="3">
        <v>45935</v>
      </c>
      <c r="L13">
        <f>AVERAGEIF(Picking_Time!$A$2:$A$31,K13,Picking_Time!$H$2:$H$31)</f>
        <v>18.5</v>
      </c>
    </row>
    <row r="14" spans="1:12" x14ac:dyDescent="0.35">
      <c r="A14" s="3">
        <v>45934</v>
      </c>
      <c r="B14">
        <f>AVERAGEIF(Inventory_Accuracy!$A$2:$A$101,A14,Inventory_Accuracy!$H$2:$H$101)</f>
        <v>15.851666666666667</v>
      </c>
      <c r="C14">
        <f t="shared" si="0"/>
        <v>10.125026927437643</v>
      </c>
      <c r="D14">
        <f t="shared" si="1"/>
        <v>21.914510592193658</v>
      </c>
      <c r="E14">
        <v>0</v>
      </c>
      <c r="G14" s="3">
        <v>45934</v>
      </c>
      <c r="H14">
        <f>AVERAGEIF(Reconciliation_Time!$A$2:$A$51,G14,Reconciliation_Time!$F$2:$F$51)</f>
        <v>4.5333333333333341</v>
      </c>
    </row>
    <row r="15" spans="1:12" x14ac:dyDescent="0.35">
      <c r="A15" s="3">
        <v>45935</v>
      </c>
      <c r="B15">
        <f>AVERAGEIF(Inventory_Accuracy!$A$2:$A$101,A15,Inventory_Accuracy!$H$2:$H$101)</f>
        <v>13.212499999999999</v>
      </c>
      <c r="C15">
        <f t="shared" si="0"/>
        <v>10.125026927437643</v>
      </c>
      <c r="D15">
        <f t="shared" si="1"/>
        <v>21.914510592193658</v>
      </c>
      <c r="E15">
        <v>0</v>
      </c>
      <c r="G15" s="3">
        <v>45935</v>
      </c>
      <c r="H15">
        <f>AVERAGEIF(Reconciliation_Time!$A$2:$A$51,G15,Reconciliation_Time!$F$2:$F$51)</f>
        <v>5.2539999999999996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tabSelected="1" workbookViewId="0">
      <selection activeCell="B10" sqref="B10"/>
    </sheetView>
  </sheetViews>
  <sheetFormatPr defaultRowHeight="14.5" x14ac:dyDescent="0.35"/>
  <cols>
    <col min="1" max="1" width="51" bestFit="1" customWidth="1"/>
    <col min="2" max="2" width="18.6328125" bestFit="1" customWidth="1"/>
  </cols>
  <sheetData>
    <row r="1" spans="1:2" x14ac:dyDescent="0.35">
      <c r="A1" t="s">
        <v>212</v>
      </c>
    </row>
    <row r="2" spans="1:2" x14ac:dyDescent="0.35">
      <c r="A2" t="s">
        <v>213</v>
      </c>
      <c r="B2">
        <f>AVERAGE(Daily_Metrics!B2:B15)</f>
        <v>10.125026927437643</v>
      </c>
    </row>
    <row r="3" spans="1:2" x14ac:dyDescent="0.35">
      <c r="A3" t="s">
        <v>214</v>
      </c>
      <c r="B3">
        <f>_xlfn.STDEV.S(Daily_Metrics!B2:B15)</f>
        <v>3.9298278882520057</v>
      </c>
    </row>
    <row r="4" spans="1:2" x14ac:dyDescent="0.35">
      <c r="A4" t="s">
        <v>215</v>
      </c>
      <c r="B4">
        <f>B2+3*B3</f>
        <v>21.914510592193658</v>
      </c>
    </row>
    <row r="5" spans="1:2" x14ac:dyDescent="0.35">
      <c r="A5" t="s">
        <v>216</v>
      </c>
      <c r="B5">
        <f>MAX(B2-3*B3,0)</f>
        <v>0</v>
      </c>
    </row>
    <row r="7" spans="1:2" x14ac:dyDescent="0.35">
      <c r="A7" t="s">
        <v>217</v>
      </c>
      <c r="B7">
        <v>2</v>
      </c>
    </row>
    <row r="8" spans="1:2" x14ac:dyDescent="0.35">
      <c r="A8" t="s">
        <v>218</v>
      </c>
      <c r="B8">
        <f>(B7-B2)/B3</f>
        <v>-2.0675274232052105</v>
      </c>
    </row>
    <row r="9" spans="1:2" x14ac:dyDescent="0.35">
      <c r="A9" t="s">
        <v>219</v>
      </c>
      <c r="B9">
        <f>(1-_xlfn.NORM.S.DIST(B8,TRUE))*1000000</f>
        <v>980657.75854779838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D2" sqref="D2"/>
    </sheetView>
  </sheetViews>
  <sheetFormatPr defaultRowHeight="14.5" x14ac:dyDescent="0.35"/>
  <cols>
    <col min="1" max="1" width="14.08984375" bestFit="1" customWidth="1"/>
    <col min="2" max="2" width="20.54296875" bestFit="1" customWidth="1"/>
  </cols>
  <sheetData>
    <row r="1" spans="1:2" x14ac:dyDescent="0.35">
      <c r="A1" t="s">
        <v>8</v>
      </c>
      <c r="B1" t="s">
        <v>199</v>
      </c>
    </row>
    <row r="2" spans="1:2" x14ac:dyDescent="0.35">
      <c r="A2" t="s">
        <v>56</v>
      </c>
      <c r="B2">
        <f>AVERAGEIF(Inventory_Accuracy!$I$2:$I$101,A2,Inventory_Accuracy!$H$2:$H$101)</f>
        <v>12.408571428571427</v>
      </c>
    </row>
    <row r="3" spans="1:2" x14ac:dyDescent="0.35">
      <c r="A3" t="s">
        <v>54</v>
      </c>
      <c r="B3">
        <f>AVERAGEIF(Inventory_Accuracy!$I$2:$I$101,A3,Inventory_Accuracy!$H$2:$H$101)</f>
        <v>8.0039999999999996</v>
      </c>
    </row>
    <row r="4" spans="1:2" x14ac:dyDescent="0.35">
      <c r="A4" t="s">
        <v>58</v>
      </c>
      <c r="B4">
        <f>AVERAGEIF(Inventory_Accuracy!$I$2:$I$101,A4,Inventory_Accuracy!$H$2:$H$101)</f>
        <v>11.880416666666667</v>
      </c>
    </row>
    <row r="5" spans="1:2" x14ac:dyDescent="0.35">
      <c r="A5" t="s">
        <v>55</v>
      </c>
      <c r="B5">
        <f>AVERAGEIF(Inventory_Accuracy!$I$2:$I$101,A5,Inventory_Accuracy!$H$2:$H$101)</f>
        <v>11.12</v>
      </c>
    </row>
    <row r="6" spans="1:2" x14ac:dyDescent="0.35">
      <c r="A6" t="s">
        <v>57</v>
      </c>
      <c r="B6">
        <f>AVERAGEIF(Inventory_Accuracy!$I$2:$I$101,A6,Inventory_Accuracy!$H$2:$H$101)</f>
        <v>7.2149999999999999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activeCell="G12" sqref="G12"/>
    </sheetView>
  </sheetViews>
  <sheetFormatPr defaultRowHeight="14.5" x14ac:dyDescent="0.35"/>
  <cols>
    <col min="1" max="1" width="15.26953125" bestFit="1" customWidth="1"/>
    <col min="3" max="3" width="11.54296875" customWidth="1"/>
    <col min="4" max="4" width="10.90625" customWidth="1"/>
  </cols>
  <sheetData>
    <row r="1" spans="1:4" x14ac:dyDescent="0.35">
      <c r="A1" t="s">
        <v>158</v>
      </c>
      <c r="B1" t="s">
        <v>209</v>
      </c>
      <c r="C1" t="s">
        <v>210</v>
      </c>
      <c r="D1" t="s">
        <v>211</v>
      </c>
    </row>
    <row r="2" spans="1:4" x14ac:dyDescent="0.35">
      <c r="A2" t="s">
        <v>186</v>
      </c>
      <c r="B2">
        <f>COUNTIF(Root_Cause_Log!$D$2:$D$21,A2)</f>
        <v>2</v>
      </c>
      <c r="C2">
        <f>B2</f>
        <v>2</v>
      </c>
      <c r="D2">
        <f>C2/SUM(B2:B7)*100</f>
        <v>10</v>
      </c>
    </row>
    <row r="3" spans="1:4" x14ac:dyDescent="0.35">
      <c r="A3" t="s">
        <v>187</v>
      </c>
      <c r="B3">
        <f>COUNTIF(Root_Cause_Log!$D$2:$D$21,A3)</f>
        <v>3</v>
      </c>
      <c r="C3">
        <f>C2+B3</f>
        <v>5</v>
      </c>
      <c r="D3">
        <f>C3/SUM(B2:B7)*100</f>
        <v>25</v>
      </c>
    </row>
    <row r="4" spans="1:4" x14ac:dyDescent="0.35">
      <c r="A4" t="s">
        <v>184</v>
      </c>
      <c r="B4">
        <f>COUNTIF(Root_Cause_Log!$D$2:$D$21,A4)</f>
        <v>5</v>
      </c>
      <c r="C4">
        <f>C3+B4</f>
        <v>10</v>
      </c>
      <c r="D4">
        <f>C4/SUM(B2:B7)*100</f>
        <v>50</v>
      </c>
    </row>
    <row r="5" spans="1:4" x14ac:dyDescent="0.35">
      <c r="A5" t="s">
        <v>183</v>
      </c>
      <c r="B5">
        <f>COUNTIF(Root_Cause_Log!$D$2:$D$21,A5)</f>
        <v>3</v>
      </c>
      <c r="C5">
        <f>C4+B5</f>
        <v>13</v>
      </c>
      <c r="D5">
        <f>C5/SUM(B2:B7)*100</f>
        <v>65</v>
      </c>
    </row>
    <row r="6" spans="1:4" x14ac:dyDescent="0.35">
      <c r="A6" t="s">
        <v>182</v>
      </c>
      <c r="B6">
        <f>COUNTIF(Root_Cause_Log!$D$2:$D$21,A6)</f>
        <v>4</v>
      </c>
      <c r="C6">
        <f>C5+B6</f>
        <v>17</v>
      </c>
      <c r="D6">
        <f>C6/SUM(B2:B7)*100</f>
        <v>85</v>
      </c>
    </row>
    <row r="7" spans="1:4" x14ac:dyDescent="0.35">
      <c r="A7" t="s">
        <v>185</v>
      </c>
      <c r="B7">
        <f>COUNTIF(Root_Cause_Log!$D$2:$D$21,A7)</f>
        <v>3</v>
      </c>
      <c r="C7">
        <f>C6+B7</f>
        <v>20</v>
      </c>
      <c r="D7">
        <f>C7/SUM(B2:B7)*100</f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opLeftCell="A12" zoomScale="83" workbookViewId="0">
      <selection activeCell="M21" sqref="M2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4"/>
  <sheetViews>
    <sheetView topLeftCell="A9" zoomScale="57" workbookViewId="0">
      <selection activeCell="A53" sqref="A53"/>
    </sheetView>
  </sheetViews>
  <sheetFormatPr defaultRowHeight="14.5" x14ac:dyDescent="0.35"/>
  <cols>
    <col min="1" max="1" width="67" style="3" customWidth="1"/>
    <col min="2" max="2" width="34.1796875" customWidth="1"/>
    <col min="3" max="3" width="19.26953125" customWidth="1"/>
    <col min="5" max="5" width="18.7265625" customWidth="1"/>
    <col min="6" max="6" width="16.08984375" customWidth="1"/>
    <col min="7" max="7" width="14" customWidth="1"/>
  </cols>
  <sheetData>
    <row r="1" spans="1:7" x14ac:dyDescent="0.35">
      <c r="A1" s="3" t="s">
        <v>220</v>
      </c>
      <c r="B1" s="3" cm="1">
        <f t="array" ref="B1">INDEX(Daily_Metrics!$A$2:$A$15,ROUNDUP(COUNTA(Daily_Metrics!$A$2:$A$15)/2,0))</f>
        <v>45928</v>
      </c>
    </row>
    <row r="2" spans="1:7" x14ac:dyDescent="0.35">
      <c r="A2" s="3" t="s">
        <v>221</v>
      </c>
    </row>
    <row r="4" spans="1:7" x14ac:dyDescent="0.35">
      <c r="A4" s="3" t="s">
        <v>222</v>
      </c>
    </row>
    <row r="5" spans="1:7" x14ac:dyDescent="0.35">
      <c r="A5" s="3" t="s">
        <v>0</v>
      </c>
      <c r="B5" t="s">
        <v>223</v>
      </c>
      <c r="C5" t="s">
        <v>224</v>
      </c>
      <c r="F5" t="s">
        <v>225</v>
      </c>
      <c r="G5" t="s">
        <v>226</v>
      </c>
    </row>
    <row r="6" spans="1:7" x14ac:dyDescent="0.35">
      <c r="A6" s="3">
        <f>Daily_Metrics!A2</f>
        <v>45922</v>
      </c>
      <c r="B6">
        <f>Daily_Metrics!B2</f>
        <v>9.9324999999999992</v>
      </c>
      <c r="C6" t="str">
        <f t="shared" ref="C6:C19" si="0">IF(A6&gt;$B$1,"After","Before")</f>
        <v>Before</v>
      </c>
      <c r="F6" cm="1">
        <f t="array" ref="F6:F11">_xlfn._xlws.FILTER(B6:B19,C6:C19="Before")</f>
        <v>9.9324999999999992</v>
      </c>
      <c r="G6" cm="1">
        <f t="array" ref="G6:G13">_xlfn._xlws.FILTER(B6:B19,C6:C19="After")</f>
        <v>0</v>
      </c>
    </row>
    <row r="7" spans="1:7" x14ac:dyDescent="0.35">
      <c r="A7" s="3" t="s">
        <v>227</v>
      </c>
      <c r="B7">
        <v>0</v>
      </c>
      <c r="C7" t="str">
        <f t="shared" si="0"/>
        <v>After</v>
      </c>
      <c r="F7">
        <v>10.846666666666668</v>
      </c>
      <c r="G7">
        <v>6.2555555555555555</v>
      </c>
    </row>
    <row r="8" spans="1:7" x14ac:dyDescent="0.35">
      <c r="A8" s="3">
        <f>Daily_Metrics!A4</f>
        <v>45924</v>
      </c>
      <c r="B8">
        <f>Daily_Metrics!B4</f>
        <v>10.846666666666668</v>
      </c>
      <c r="C8" t="str">
        <f t="shared" si="0"/>
        <v>Before</v>
      </c>
      <c r="F8">
        <v>8.4700000000000006</v>
      </c>
      <c r="G8">
        <v>11.80875</v>
      </c>
    </row>
    <row r="9" spans="1:7" x14ac:dyDescent="0.35">
      <c r="A9" s="3">
        <f>Daily_Metrics!A5</f>
        <v>45925</v>
      </c>
      <c r="B9">
        <f>Daily_Metrics!B5</f>
        <v>8.4700000000000006</v>
      </c>
      <c r="C9" t="str">
        <f t="shared" si="0"/>
        <v>Before</v>
      </c>
      <c r="F9">
        <v>18.275714285714283</v>
      </c>
      <c r="G9">
        <v>11.501666666666667</v>
      </c>
    </row>
    <row r="10" spans="1:7" x14ac:dyDescent="0.35">
      <c r="A10" s="3">
        <f>Daily_Metrics!A6</f>
        <v>45926</v>
      </c>
      <c r="B10">
        <f>Daily_Metrics!B6</f>
        <v>18.275714285714283</v>
      </c>
      <c r="C10" t="str">
        <f t="shared" si="0"/>
        <v>Before</v>
      </c>
      <c r="F10">
        <v>8.4578571428571419</v>
      </c>
      <c r="G10">
        <v>7.748333333333334</v>
      </c>
    </row>
    <row r="11" spans="1:7" x14ac:dyDescent="0.35">
      <c r="A11" s="3">
        <f>Daily_Metrics!A7</f>
        <v>45927</v>
      </c>
      <c r="B11">
        <f>Daily_Metrics!B7</f>
        <v>8.4578571428571419</v>
      </c>
      <c r="C11" t="str">
        <f t="shared" si="0"/>
        <v>Before</v>
      </c>
      <c r="F11">
        <v>8.2966666666666669</v>
      </c>
      <c r="G11">
        <v>8.3125</v>
      </c>
    </row>
    <row r="12" spans="1:7" x14ac:dyDescent="0.35">
      <c r="A12" s="3">
        <f>Daily_Metrics!A8</f>
        <v>45928</v>
      </c>
      <c r="B12">
        <f>Daily_Metrics!B8</f>
        <v>8.2966666666666669</v>
      </c>
      <c r="C12" t="str">
        <f t="shared" si="0"/>
        <v>Before</v>
      </c>
      <c r="G12">
        <v>15.851666666666667</v>
      </c>
    </row>
    <row r="13" spans="1:7" x14ac:dyDescent="0.35">
      <c r="A13" s="3">
        <f>Daily_Metrics!A9</f>
        <v>45929</v>
      </c>
      <c r="B13">
        <f>Daily_Metrics!B9</f>
        <v>6.2555555555555555</v>
      </c>
      <c r="C13" t="str">
        <f t="shared" si="0"/>
        <v>After</v>
      </c>
      <c r="G13">
        <v>13.212499999999999</v>
      </c>
    </row>
    <row r="14" spans="1:7" x14ac:dyDescent="0.35">
      <c r="A14" s="3">
        <f>Daily_Metrics!A10</f>
        <v>45930</v>
      </c>
      <c r="B14">
        <f>Daily_Metrics!B10</f>
        <v>11.80875</v>
      </c>
      <c r="C14" t="str">
        <f t="shared" si="0"/>
        <v>After</v>
      </c>
    </row>
    <row r="15" spans="1:7" x14ac:dyDescent="0.35">
      <c r="A15" s="3">
        <f>Daily_Metrics!A11</f>
        <v>45931</v>
      </c>
      <c r="B15">
        <f>Daily_Metrics!B11</f>
        <v>11.501666666666667</v>
      </c>
      <c r="C15" t="str">
        <f t="shared" si="0"/>
        <v>After</v>
      </c>
    </row>
    <row r="16" spans="1:7" x14ac:dyDescent="0.35">
      <c r="A16" s="3">
        <f>Daily_Metrics!A12</f>
        <v>45932</v>
      </c>
      <c r="B16">
        <f>Daily_Metrics!B12</f>
        <v>7.748333333333334</v>
      </c>
      <c r="C16" t="str">
        <f t="shared" si="0"/>
        <v>After</v>
      </c>
    </row>
    <row r="17" spans="1:7" x14ac:dyDescent="0.35">
      <c r="A17" s="3">
        <f>Daily_Metrics!A13</f>
        <v>45933</v>
      </c>
      <c r="B17">
        <f>Daily_Metrics!B13</f>
        <v>8.3125</v>
      </c>
      <c r="C17" t="str">
        <f t="shared" si="0"/>
        <v>After</v>
      </c>
    </row>
    <row r="18" spans="1:7" x14ac:dyDescent="0.35">
      <c r="A18" s="3">
        <f>Daily_Metrics!A14</f>
        <v>45934</v>
      </c>
      <c r="B18">
        <f>Daily_Metrics!B14</f>
        <v>15.851666666666667</v>
      </c>
      <c r="C18" t="str">
        <f t="shared" si="0"/>
        <v>After</v>
      </c>
    </row>
    <row r="19" spans="1:7" x14ac:dyDescent="0.35">
      <c r="A19" s="3">
        <f>Daily_Metrics!A15</f>
        <v>45935</v>
      </c>
      <c r="B19">
        <f>Daily_Metrics!B15</f>
        <v>13.212499999999999</v>
      </c>
      <c r="C19" t="str">
        <f t="shared" si="0"/>
        <v>After</v>
      </c>
    </row>
    <row r="22" spans="1:7" x14ac:dyDescent="0.35">
      <c r="A22" s="3" t="s">
        <v>228</v>
      </c>
    </row>
    <row r="23" spans="1:7" x14ac:dyDescent="0.35">
      <c r="A23" s="3" t="s">
        <v>0</v>
      </c>
      <c r="B23" t="s">
        <v>229</v>
      </c>
      <c r="C23" t="s">
        <v>230</v>
      </c>
      <c r="F23" t="s">
        <v>231</v>
      </c>
      <c r="G23" t="s">
        <v>232</v>
      </c>
    </row>
    <row r="24" spans="1:7" x14ac:dyDescent="0.35">
      <c r="A24" s="3">
        <f>Daily_Metrics!G2</f>
        <v>45922</v>
      </c>
      <c r="B24">
        <f>Daily_Metrics!H2</f>
        <v>4.9366666666666665</v>
      </c>
      <c r="C24" t="str">
        <f t="shared" ref="C24:C37" si="1">IF(A24&gt;$B$1,"After","Before")</f>
        <v>Before</v>
      </c>
      <c r="F24" cm="1">
        <f t="array" ref="F24:F29">_xlfn._xlws.FILTER(B23:B37,C23:C37="Before")</f>
        <v>4.9366666666666665</v>
      </c>
      <c r="G24" cm="1">
        <f t="array" ref="G24:G31">_xlfn._xlws.FILTER(B23:B37,C23:C37="After")</f>
        <v>0</v>
      </c>
    </row>
    <row r="25" spans="1:7" x14ac:dyDescent="0.35">
      <c r="A25" s="3" t="s">
        <v>227</v>
      </c>
      <c r="B25">
        <v>0</v>
      </c>
      <c r="C25" t="str">
        <f t="shared" si="1"/>
        <v>After</v>
      </c>
      <c r="F25">
        <v>4.0650000000000004</v>
      </c>
      <c r="G25">
        <v>4.2699999999999996</v>
      </c>
    </row>
    <row r="26" spans="1:7" x14ac:dyDescent="0.35">
      <c r="A26" s="3">
        <f>Daily_Metrics!G4</f>
        <v>45924</v>
      </c>
      <c r="B26">
        <f>Daily_Metrics!H4</f>
        <v>4.0650000000000004</v>
      </c>
      <c r="C26" t="str">
        <f t="shared" si="1"/>
        <v>Before</v>
      </c>
      <c r="F26">
        <v>3.686666666666667</v>
      </c>
      <c r="G26">
        <v>4.5266666666666664</v>
      </c>
    </row>
    <row r="27" spans="1:7" x14ac:dyDescent="0.35">
      <c r="A27" s="3">
        <f>Daily_Metrics!G5</f>
        <v>45925</v>
      </c>
      <c r="B27">
        <f>Daily_Metrics!H5</f>
        <v>3.686666666666667</v>
      </c>
      <c r="C27" t="str">
        <f t="shared" si="1"/>
        <v>Before</v>
      </c>
      <c r="F27">
        <v>6.4</v>
      </c>
      <c r="G27">
        <v>3.4324999999999997</v>
      </c>
    </row>
    <row r="28" spans="1:7" x14ac:dyDescent="0.35">
      <c r="A28" s="3">
        <f>Daily_Metrics!G6</f>
        <v>45926</v>
      </c>
      <c r="B28">
        <f>Daily_Metrics!H6</f>
        <v>6.4</v>
      </c>
      <c r="C28" t="str">
        <f t="shared" si="1"/>
        <v>Before</v>
      </c>
      <c r="F28">
        <v>2.7759999999999998</v>
      </c>
      <c r="G28">
        <v>2.42</v>
      </c>
    </row>
    <row r="29" spans="1:7" x14ac:dyDescent="0.35">
      <c r="A29" s="3">
        <f>Daily_Metrics!G7</f>
        <v>45927</v>
      </c>
      <c r="B29">
        <f>Daily_Metrics!H7</f>
        <v>2.7759999999999998</v>
      </c>
      <c r="C29" t="str">
        <f t="shared" si="1"/>
        <v>Before</v>
      </c>
      <c r="F29">
        <v>5.0866666666666669</v>
      </c>
      <c r="G29">
        <v>4.2849999999999993</v>
      </c>
    </row>
    <row r="30" spans="1:7" x14ac:dyDescent="0.35">
      <c r="A30" s="3">
        <f>Daily_Metrics!G8</f>
        <v>45928</v>
      </c>
      <c r="B30">
        <f>Daily_Metrics!H8</f>
        <v>5.0866666666666669</v>
      </c>
      <c r="C30" t="str">
        <f t="shared" si="1"/>
        <v>Before</v>
      </c>
      <c r="G30">
        <v>4.5333333333333341</v>
      </c>
    </row>
    <row r="31" spans="1:7" x14ac:dyDescent="0.35">
      <c r="A31" s="3">
        <f>Daily_Metrics!G9</f>
        <v>45929</v>
      </c>
      <c r="B31">
        <f>Daily_Metrics!H9</f>
        <v>4.2699999999999996</v>
      </c>
      <c r="C31" t="str">
        <f t="shared" si="1"/>
        <v>After</v>
      </c>
      <c r="G31">
        <v>5.2539999999999996</v>
      </c>
    </row>
    <row r="32" spans="1:7" x14ac:dyDescent="0.35">
      <c r="A32" s="3">
        <f>Daily_Metrics!G10</f>
        <v>45930</v>
      </c>
      <c r="B32">
        <f>Daily_Metrics!H10</f>
        <v>4.5266666666666664</v>
      </c>
      <c r="C32" t="str">
        <f t="shared" si="1"/>
        <v>After</v>
      </c>
    </row>
    <row r="33" spans="1:7" x14ac:dyDescent="0.35">
      <c r="A33" s="3">
        <f>Daily_Metrics!G11</f>
        <v>45931</v>
      </c>
      <c r="B33">
        <f>Daily_Metrics!H11</f>
        <v>3.4324999999999997</v>
      </c>
      <c r="C33" t="str">
        <f t="shared" si="1"/>
        <v>After</v>
      </c>
    </row>
    <row r="34" spans="1:7" x14ac:dyDescent="0.35">
      <c r="A34" s="3">
        <f>Daily_Metrics!G12</f>
        <v>45932</v>
      </c>
      <c r="B34">
        <f>Daily_Metrics!H12</f>
        <v>2.42</v>
      </c>
      <c r="C34" t="str">
        <f t="shared" si="1"/>
        <v>After</v>
      </c>
    </row>
    <row r="35" spans="1:7" x14ac:dyDescent="0.35">
      <c r="A35" s="3">
        <f>Daily_Metrics!G13</f>
        <v>45933</v>
      </c>
      <c r="B35">
        <f>Daily_Metrics!H13</f>
        <v>4.2849999999999993</v>
      </c>
      <c r="C35" t="str">
        <f t="shared" si="1"/>
        <v>After</v>
      </c>
    </row>
    <row r="36" spans="1:7" x14ac:dyDescent="0.35">
      <c r="A36" s="3">
        <f>Daily_Metrics!G14</f>
        <v>45934</v>
      </c>
      <c r="B36">
        <f>Daily_Metrics!H14</f>
        <v>4.5333333333333341</v>
      </c>
      <c r="C36" t="str">
        <f t="shared" si="1"/>
        <v>After</v>
      </c>
    </row>
    <row r="37" spans="1:7" x14ac:dyDescent="0.35">
      <c r="A37" s="3">
        <f>Daily_Metrics!G15</f>
        <v>45935</v>
      </c>
      <c r="B37">
        <f>Daily_Metrics!H15</f>
        <v>5.2539999999999996</v>
      </c>
      <c r="C37" t="str">
        <f t="shared" si="1"/>
        <v>After</v>
      </c>
    </row>
    <row r="40" spans="1:7" x14ac:dyDescent="0.35">
      <c r="A40" s="3" t="s">
        <v>233</v>
      </c>
    </row>
    <row r="41" spans="1:7" x14ac:dyDescent="0.35">
      <c r="A41" s="3" t="s">
        <v>0</v>
      </c>
      <c r="B41" t="s">
        <v>234</v>
      </c>
      <c r="C41" t="s">
        <v>230</v>
      </c>
      <c r="F41" t="s">
        <v>235</v>
      </c>
      <c r="G41" t="s">
        <v>236</v>
      </c>
    </row>
    <row r="42" spans="1:7" x14ac:dyDescent="0.35">
      <c r="A42" s="3">
        <f>Daily_Metrics!K2</f>
        <v>45922</v>
      </c>
      <c r="B42">
        <f>Daily_Metrics!L2</f>
        <v>18</v>
      </c>
      <c r="C42" t="str">
        <f t="shared" ref="C42:C53" si="2">IF(A42&gt;$B$1,"After","Before")</f>
        <v>Before</v>
      </c>
      <c r="F42" cm="1">
        <f t="array" ref="F42:F45">_xlfn._xlws.FILTER(B41:B53,C41:C53="Before")</f>
        <v>18</v>
      </c>
      <c r="G42" cm="1">
        <f t="array" ref="G42:G49">_xlfn._xlws.FILTER(B41:B53,C41:C53="After")</f>
        <v>0</v>
      </c>
    </row>
    <row r="43" spans="1:7" x14ac:dyDescent="0.35">
      <c r="A43" s="3" t="s">
        <v>227</v>
      </c>
      <c r="B43">
        <v>0</v>
      </c>
      <c r="C43" t="str">
        <f t="shared" si="2"/>
        <v>After</v>
      </c>
      <c r="F43">
        <v>15</v>
      </c>
      <c r="G43">
        <v>10</v>
      </c>
    </row>
    <row r="44" spans="1:7" x14ac:dyDescent="0.35">
      <c r="A44" s="3">
        <f>Daily_Metrics!K4</f>
        <v>45925</v>
      </c>
      <c r="B44">
        <f>Daily_Metrics!L4</f>
        <v>15</v>
      </c>
      <c r="C44" t="str">
        <f t="shared" si="2"/>
        <v>Before</v>
      </c>
      <c r="F44">
        <v>14.666666666666666</v>
      </c>
      <c r="G44">
        <v>14.833333333333334</v>
      </c>
    </row>
    <row r="45" spans="1:7" x14ac:dyDescent="0.35">
      <c r="A45" s="3">
        <f>Daily_Metrics!K5</f>
        <v>45926</v>
      </c>
      <c r="B45">
        <f>Daily_Metrics!L5</f>
        <v>14.666666666666666</v>
      </c>
      <c r="C45" t="str">
        <f t="shared" si="2"/>
        <v>Before</v>
      </c>
      <c r="F45">
        <v>16</v>
      </c>
      <c r="G45">
        <v>25</v>
      </c>
    </row>
    <row r="46" spans="1:7" x14ac:dyDescent="0.35">
      <c r="A46" s="3">
        <f>Daily_Metrics!K6</f>
        <v>45927</v>
      </c>
      <c r="B46">
        <f>Daily_Metrics!L6</f>
        <v>16</v>
      </c>
      <c r="C46" t="str">
        <f t="shared" si="2"/>
        <v>Before</v>
      </c>
      <c r="G46">
        <v>19.5</v>
      </c>
    </row>
    <row r="47" spans="1:7" x14ac:dyDescent="0.35">
      <c r="A47" s="3">
        <f>Daily_Metrics!K7</f>
        <v>45929</v>
      </c>
      <c r="B47">
        <f>Daily_Metrics!L7</f>
        <v>10</v>
      </c>
      <c r="C47" t="str">
        <f t="shared" si="2"/>
        <v>After</v>
      </c>
      <c r="G47">
        <v>22.5</v>
      </c>
    </row>
    <row r="48" spans="1:7" x14ac:dyDescent="0.35">
      <c r="A48" s="3">
        <f>Daily_Metrics!K8</f>
        <v>45930</v>
      </c>
      <c r="B48">
        <f>Daily_Metrics!L8</f>
        <v>14.833333333333334</v>
      </c>
      <c r="C48" t="str">
        <f t="shared" si="2"/>
        <v>After</v>
      </c>
      <c r="G48">
        <v>18</v>
      </c>
    </row>
    <row r="49" spans="1:8" x14ac:dyDescent="0.35">
      <c r="A49" s="3">
        <f>Daily_Metrics!K9</f>
        <v>45931</v>
      </c>
      <c r="B49">
        <f>Daily_Metrics!L9</f>
        <v>25</v>
      </c>
      <c r="C49" t="str">
        <f t="shared" si="2"/>
        <v>After</v>
      </c>
      <c r="G49">
        <v>18.5</v>
      </c>
    </row>
    <row r="50" spans="1:8" x14ac:dyDescent="0.35">
      <c r="A50" s="3">
        <f>Daily_Metrics!K10</f>
        <v>45932</v>
      </c>
      <c r="B50">
        <f>Daily_Metrics!L10</f>
        <v>19.5</v>
      </c>
      <c r="C50" t="str">
        <f t="shared" si="2"/>
        <v>After</v>
      </c>
    </row>
    <row r="51" spans="1:8" x14ac:dyDescent="0.35">
      <c r="A51" s="3">
        <f>Daily_Metrics!K11</f>
        <v>45933</v>
      </c>
      <c r="B51">
        <f>Daily_Metrics!L11</f>
        <v>22.5</v>
      </c>
      <c r="C51" t="str">
        <f t="shared" si="2"/>
        <v>After</v>
      </c>
    </row>
    <row r="52" spans="1:8" x14ac:dyDescent="0.35">
      <c r="A52" s="3">
        <f>Daily_Metrics!K12</f>
        <v>45934</v>
      </c>
      <c r="B52">
        <f>Daily_Metrics!L12</f>
        <v>18</v>
      </c>
      <c r="C52" t="str">
        <f t="shared" si="2"/>
        <v>After</v>
      </c>
    </row>
    <row r="53" spans="1:8" x14ac:dyDescent="0.35">
      <c r="A53" s="3">
        <f>Daily_Metrics!K13</f>
        <v>45935</v>
      </c>
      <c r="B53">
        <f>Daily_Metrics!L13</f>
        <v>18.5</v>
      </c>
      <c r="C53" t="str">
        <f t="shared" si="2"/>
        <v>After</v>
      </c>
    </row>
    <row r="56" spans="1:8" x14ac:dyDescent="0.35">
      <c r="A56" s="3" t="s">
        <v>237</v>
      </c>
    </row>
    <row r="57" spans="1:8" x14ac:dyDescent="0.35">
      <c r="A57" s="3" t="s">
        <v>238</v>
      </c>
      <c r="B57" t="s">
        <v>239</v>
      </c>
      <c r="C57" t="s">
        <v>240</v>
      </c>
      <c r="E57" t="s">
        <v>241</v>
      </c>
      <c r="F57" t="s">
        <v>242</v>
      </c>
      <c r="G57" t="s">
        <v>243</v>
      </c>
      <c r="H57" t="s">
        <v>244</v>
      </c>
    </row>
    <row r="58" spans="1:8" x14ac:dyDescent="0.35">
      <c r="A58" s="3" t="s">
        <v>186</v>
      </c>
      <c r="B58">
        <f>COUNTIFS(Root_Cause_Log!$D:$D,$A58,Root_Cause_Log!$A:$A,"&lt;="&amp;$B$1)</f>
        <v>1</v>
      </c>
      <c r="C58">
        <f>COUNTIFS(Root_Cause_Log!$D:$D,$A58,Root_Cause_Log!$A:$A,"&gt;"&amp;$B$1)</f>
        <v>1</v>
      </c>
      <c r="E58">
        <f>_xlfn.CHISQ.TEST(B58:C63,F58:G63)</f>
        <v>0.99416960069941041</v>
      </c>
      <c r="F58">
        <f t="shared" ref="F58:F63" si="3">H58*$B$64/$H$64</f>
        <v>1.3</v>
      </c>
      <c r="G58">
        <f t="shared" ref="G58:G63" si="4">H58*$C$64/$H$64</f>
        <v>0.7</v>
      </c>
      <c r="H58">
        <f t="shared" ref="H58:H63" si="5">B58+C58</f>
        <v>2</v>
      </c>
    </row>
    <row r="59" spans="1:8" x14ac:dyDescent="0.35">
      <c r="A59" s="3" t="s">
        <v>187</v>
      </c>
      <c r="B59">
        <f>COUNTIFS(Root_Cause_Log!$D:$D,$A59,Root_Cause_Log!$A:$A,"&lt;="&amp;$B$1)</f>
        <v>2</v>
      </c>
      <c r="C59">
        <f>COUNTIFS(Root_Cause_Log!$D:$D,$A59,Root_Cause_Log!$A:$A,"&gt;"&amp;$B$1)</f>
        <v>1</v>
      </c>
      <c r="F59">
        <f t="shared" si="3"/>
        <v>1.95</v>
      </c>
      <c r="G59">
        <f t="shared" si="4"/>
        <v>1.05</v>
      </c>
      <c r="H59">
        <f t="shared" si="5"/>
        <v>3</v>
      </c>
    </row>
    <row r="60" spans="1:8" x14ac:dyDescent="0.35">
      <c r="A60" s="3" t="s">
        <v>184</v>
      </c>
      <c r="B60">
        <f>COUNTIFS(Root_Cause_Log!$D:$D,$A60,Root_Cause_Log!$A:$A,"&lt;="&amp;$B$1)</f>
        <v>3</v>
      </c>
      <c r="C60">
        <f>COUNTIFS(Root_Cause_Log!$D:$D,$A60,Root_Cause_Log!$A:$A,"&gt;"&amp;$B$1)</f>
        <v>2</v>
      </c>
      <c r="F60">
        <f t="shared" si="3"/>
        <v>3.25</v>
      </c>
      <c r="G60">
        <f t="shared" si="4"/>
        <v>1.75</v>
      </c>
      <c r="H60">
        <f t="shared" si="5"/>
        <v>5</v>
      </c>
    </row>
    <row r="61" spans="1:8" x14ac:dyDescent="0.35">
      <c r="A61" s="3" t="s">
        <v>183</v>
      </c>
      <c r="B61">
        <f>COUNTIFS(Root_Cause_Log!$D:$D,$A61,Root_Cause_Log!$A:$A,"&lt;="&amp;$B$1)</f>
        <v>2</v>
      </c>
      <c r="C61">
        <f>COUNTIFS(Root_Cause_Log!$D:$D,$A61,Root_Cause_Log!$A:$A,"&gt;"&amp;$B$1)</f>
        <v>1</v>
      </c>
      <c r="F61">
        <f t="shared" si="3"/>
        <v>1.95</v>
      </c>
      <c r="G61">
        <f t="shared" si="4"/>
        <v>1.05</v>
      </c>
      <c r="H61">
        <f t="shared" si="5"/>
        <v>3</v>
      </c>
    </row>
    <row r="62" spans="1:8" x14ac:dyDescent="0.35">
      <c r="A62" s="3" t="s">
        <v>182</v>
      </c>
      <c r="B62">
        <f>COUNTIFS(Root_Cause_Log!$D:$D,$A62,Root_Cause_Log!$A:$A,"&lt;="&amp;$B$1)</f>
        <v>3</v>
      </c>
      <c r="C62">
        <f>COUNTIFS(Root_Cause_Log!$D:$D,$A62,Root_Cause_Log!$A:$A,"&gt;"&amp;$B$1)</f>
        <v>1</v>
      </c>
      <c r="F62">
        <f t="shared" si="3"/>
        <v>2.6</v>
      </c>
      <c r="G62">
        <f t="shared" si="4"/>
        <v>1.4</v>
      </c>
      <c r="H62">
        <f t="shared" si="5"/>
        <v>4</v>
      </c>
    </row>
    <row r="63" spans="1:8" x14ac:dyDescent="0.35">
      <c r="A63" s="3" t="s">
        <v>185</v>
      </c>
      <c r="B63">
        <f>COUNTIFS(Root_Cause_Log!$D:$D,$A63,Root_Cause_Log!$A:$A,"&lt;="&amp;$B$1)</f>
        <v>2</v>
      </c>
      <c r="C63">
        <f>COUNTIFS(Root_Cause_Log!$D:$D,$A63,Root_Cause_Log!$A:$A,"&gt;"&amp;$B$1)</f>
        <v>1</v>
      </c>
      <c r="F63">
        <f t="shared" si="3"/>
        <v>1.95</v>
      </c>
      <c r="G63">
        <f t="shared" si="4"/>
        <v>1.05</v>
      </c>
      <c r="H63">
        <f t="shared" si="5"/>
        <v>3</v>
      </c>
    </row>
    <row r="64" spans="1:8" x14ac:dyDescent="0.35">
      <c r="B64">
        <f>SUM(B57:B63)</f>
        <v>13</v>
      </c>
      <c r="C64">
        <f>SUM(C57:C63)</f>
        <v>7</v>
      </c>
      <c r="H64">
        <f>SUM(H57:H63)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Inventory_Accuracy</vt:lpstr>
      <vt:lpstr>Reconciliation_Time</vt:lpstr>
      <vt:lpstr>Picking_Time</vt:lpstr>
      <vt:lpstr>Root_Cause_Log</vt:lpstr>
      <vt:lpstr>KPIs</vt:lpstr>
      <vt:lpstr>Daily_Metrics</vt:lpstr>
      <vt:lpstr>Sigma_Calc</vt:lpstr>
      <vt:lpstr>Technician_Comparison</vt:lpstr>
      <vt:lpstr>Pareto_Causes</vt:lpstr>
      <vt:lpstr>Charts</vt:lpstr>
      <vt:lpstr>Hypothesis_Tests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Bokade</cp:lastModifiedBy>
  <dcterms:created xsi:type="dcterms:W3CDTF">2025-10-08T08:22:22Z</dcterms:created>
  <dcterms:modified xsi:type="dcterms:W3CDTF">2026-01-31T04:01:57Z</dcterms:modified>
</cp:coreProperties>
</file>